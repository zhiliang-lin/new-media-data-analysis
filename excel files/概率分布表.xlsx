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eaching\2025春-新媒体数据分析与应用\"/>
    </mc:Choice>
  </mc:AlternateContent>
  <xr:revisionPtr revIDLastSave="0" documentId="13_ncr:1_{D92A9D00-7CBF-4793-9735-E5D8BAC84EDF}" xr6:coauthVersionLast="47" xr6:coauthVersionMax="47" xr10:uidLastSave="{00000000-0000-0000-0000-000000000000}"/>
  <bookViews>
    <workbookView xWindow="15520" yWindow="9350" windowWidth="16800" windowHeight="9860" firstSheet="1" activeTab="3" xr2:uid="{00000000-000D-0000-FFFF-FFFF00000000}"/>
  </bookViews>
  <sheets>
    <sheet name="标准正态分布表" sheetId="1" r:id="rId1"/>
    <sheet name="t分布临界值表" sheetId="3" r:id="rId2"/>
    <sheet name="卡方分布临界值表" sheetId="4" r:id="rId3"/>
    <sheet name="F分布临界值表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19" i="3"/>
  <c r="D19" i="3"/>
  <c r="E19" i="3"/>
  <c r="F19" i="3"/>
  <c r="G19" i="3"/>
  <c r="H19" i="3"/>
  <c r="B20" i="3"/>
  <c r="C20" i="3"/>
  <c r="D20" i="3"/>
  <c r="E20" i="3"/>
  <c r="F20" i="3"/>
  <c r="G20" i="3"/>
  <c r="H20" i="3"/>
  <c r="B21" i="3"/>
  <c r="C21" i="3"/>
  <c r="D21" i="3"/>
  <c r="E21" i="3"/>
  <c r="F21" i="3"/>
  <c r="G21" i="3"/>
  <c r="H21" i="3"/>
  <c r="B22" i="3"/>
  <c r="C22" i="3"/>
  <c r="D22" i="3"/>
  <c r="E22" i="3"/>
  <c r="F22" i="3"/>
  <c r="G22" i="3"/>
  <c r="H22" i="3"/>
  <c r="B23" i="3"/>
  <c r="C23" i="3"/>
  <c r="D23" i="3"/>
  <c r="E23" i="3"/>
  <c r="F23" i="3"/>
  <c r="G23" i="3"/>
  <c r="H23" i="3"/>
  <c r="B24" i="3"/>
  <c r="C24" i="3"/>
  <c r="D24" i="3"/>
  <c r="E24" i="3"/>
  <c r="F24" i="3"/>
  <c r="G24" i="3"/>
  <c r="H24" i="3"/>
  <c r="B25" i="3"/>
  <c r="C25" i="3"/>
  <c r="D25" i="3"/>
  <c r="E25" i="3"/>
  <c r="F25" i="3"/>
  <c r="G25" i="3"/>
  <c r="H25" i="3"/>
  <c r="B26" i="3"/>
  <c r="C26" i="3"/>
  <c r="D26" i="3"/>
  <c r="E26" i="3"/>
  <c r="F26" i="3"/>
  <c r="G26" i="3"/>
  <c r="H26" i="3"/>
  <c r="B27" i="3"/>
  <c r="C27" i="3"/>
  <c r="D27" i="3"/>
  <c r="E27" i="3"/>
  <c r="F27" i="3"/>
  <c r="G27" i="3"/>
  <c r="H27" i="3"/>
  <c r="B28" i="3"/>
  <c r="C28" i="3"/>
  <c r="D28" i="3"/>
  <c r="E28" i="3"/>
  <c r="F28" i="3"/>
  <c r="G28" i="3"/>
  <c r="H28" i="3"/>
  <c r="B29" i="3"/>
  <c r="C29" i="3"/>
  <c r="D29" i="3"/>
  <c r="E29" i="3"/>
  <c r="F29" i="3"/>
  <c r="G29" i="3"/>
  <c r="H29" i="3"/>
  <c r="B30" i="3"/>
  <c r="C30" i="3"/>
  <c r="D30" i="3"/>
  <c r="E30" i="3"/>
  <c r="F30" i="3"/>
  <c r="G30" i="3"/>
  <c r="H30" i="3"/>
  <c r="B31" i="3"/>
  <c r="C31" i="3"/>
  <c r="D31" i="3"/>
  <c r="E31" i="3"/>
  <c r="F31" i="3"/>
  <c r="G31" i="3"/>
  <c r="H31" i="3"/>
  <c r="B32" i="3"/>
  <c r="C32" i="3"/>
  <c r="D32" i="3"/>
  <c r="E32" i="3"/>
  <c r="F32" i="3"/>
  <c r="G32" i="3"/>
  <c r="H32" i="3"/>
  <c r="B33" i="3"/>
  <c r="C33" i="3"/>
  <c r="D33" i="3"/>
  <c r="E33" i="3"/>
  <c r="F33" i="3"/>
  <c r="G33" i="3"/>
  <c r="H33" i="3"/>
  <c r="B34" i="3"/>
  <c r="C34" i="3"/>
  <c r="D34" i="3"/>
  <c r="E34" i="3"/>
  <c r="F34" i="3"/>
  <c r="G34" i="3"/>
  <c r="H34" i="3"/>
  <c r="B35" i="3"/>
  <c r="C35" i="3"/>
  <c r="D35" i="3"/>
  <c r="E35" i="3"/>
  <c r="F35" i="3"/>
  <c r="G35" i="3"/>
  <c r="H35" i="3"/>
  <c r="B36" i="3"/>
  <c r="C36" i="3"/>
  <c r="D36" i="3"/>
  <c r="E36" i="3"/>
  <c r="F36" i="3"/>
  <c r="G36" i="3"/>
  <c r="H36" i="3"/>
  <c r="B37" i="3"/>
  <c r="C37" i="3"/>
  <c r="D37" i="3"/>
  <c r="E37" i="3"/>
  <c r="F37" i="3"/>
  <c r="G37" i="3"/>
  <c r="H37" i="3"/>
  <c r="B38" i="3"/>
  <c r="C38" i="3"/>
  <c r="D38" i="3"/>
  <c r="E38" i="3"/>
  <c r="F38" i="3"/>
  <c r="G38" i="3"/>
  <c r="H38" i="3"/>
  <c r="B39" i="3"/>
  <c r="C39" i="3"/>
  <c r="D39" i="3"/>
  <c r="E39" i="3"/>
  <c r="F39" i="3"/>
  <c r="G39" i="3"/>
  <c r="H39" i="3"/>
  <c r="B40" i="3"/>
  <c r="C40" i="3"/>
  <c r="D40" i="3"/>
  <c r="E40" i="3"/>
  <c r="F40" i="3"/>
  <c r="G40" i="3"/>
  <c r="H40" i="3"/>
  <c r="B41" i="3"/>
  <c r="C41" i="3"/>
  <c r="D41" i="3"/>
  <c r="E41" i="3"/>
  <c r="F41" i="3"/>
  <c r="G41" i="3"/>
  <c r="H41" i="3"/>
  <c r="B42" i="3"/>
  <c r="C42" i="3"/>
  <c r="D42" i="3"/>
  <c r="E42" i="3"/>
  <c r="F42" i="3"/>
  <c r="G42" i="3"/>
  <c r="H42" i="3"/>
  <c r="B43" i="3"/>
  <c r="C43" i="3"/>
  <c r="D43" i="3"/>
  <c r="E43" i="3"/>
  <c r="F43" i="3"/>
  <c r="G43" i="3"/>
  <c r="H43" i="3"/>
  <c r="B44" i="3"/>
  <c r="C44" i="3"/>
  <c r="D44" i="3"/>
  <c r="E44" i="3"/>
  <c r="F44" i="3"/>
  <c r="G44" i="3"/>
  <c r="H44" i="3"/>
  <c r="B45" i="3"/>
  <c r="C45" i="3"/>
  <c r="D45" i="3"/>
  <c r="E45" i="3"/>
  <c r="F45" i="3"/>
  <c r="G45" i="3"/>
  <c r="H45" i="3"/>
  <c r="B46" i="3"/>
  <c r="C46" i="3"/>
  <c r="D46" i="3"/>
  <c r="E46" i="3"/>
  <c r="F46" i="3"/>
  <c r="G46" i="3"/>
  <c r="H46" i="3"/>
  <c r="B3" i="3"/>
  <c r="C3" i="3"/>
  <c r="D3" i="3"/>
  <c r="E3" i="3"/>
  <c r="F3" i="3"/>
  <c r="G3" i="3"/>
  <c r="H3" i="3"/>
  <c r="B4" i="3"/>
  <c r="C4" i="3"/>
  <c r="D4" i="3"/>
  <c r="E4" i="3"/>
  <c r="F4" i="3"/>
  <c r="G4" i="3"/>
  <c r="H4" i="3"/>
  <c r="B5" i="3"/>
  <c r="C5" i="3"/>
  <c r="D5" i="3"/>
  <c r="E5" i="3"/>
  <c r="F5" i="3"/>
  <c r="G5" i="3"/>
  <c r="H5" i="3"/>
  <c r="B6" i="3"/>
  <c r="C6" i="3"/>
  <c r="D6" i="3"/>
  <c r="E6" i="3"/>
  <c r="F6" i="3"/>
  <c r="G6" i="3"/>
  <c r="H6" i="3"/>
  <c r="B7" i="3"/>
  <c r="C7" i="3"/>
  <c r="D7" i="3"/>
  <c r="E7" i="3"/>
  <c r="F7" i="3"/>
  <c r="G7" i="3"/>
  <c r="H7" i="3"/>
  <c r="B8" i="3"/>
  <c r="C8" i="3"/>
  <c r="D8" i="3"/>
  <c r="E8" i="3"/>
  <c r="F8" i="3"/>
  <c r="G8" i="3"/>
  <c r="H8" i="3"/>
  <c r="B9" i="3"/>
  <c r="C9" i="3"/>
  <c r="D9" i="3"/>
  <c r="E9" i="3"/>
  <c r="F9" i="3"/>
  <c r="G9" i="3"/>
  <c r="H9" i="3"/>
  <c r="B10" i="3"/>
  <c r="C10" i="3"/>
  <c r="D10" i="3"/>
  <c r="E10" i="3"/>
  <c r="F10" i="3"/>
  <c r="G10" i="3"/>
  <c r="H10" i="3"/>
  <c r="B11" i="3"/>
  <c r="C11" i="3"/>
  <c r="D11" i="3"/>
  <c r="E11" i="3"/>
  <c r="F11" i="3"/>
  <c r="G11" i="3"/>
  <c r="H11" i="3"/>
  <c r="B12" i="3"/>
  <c r="C12" i="3"/>
  <c r="D12" i="3"/>
  <c r="E12" i="3"/>
  <c r="F12" i="3"/>
  <c r="G12" i="3"/>
  <c r="H12" i="3"/>
  <c r="B13" i="3"/>
  <c r="C13" i="3"/>
  <c r="D13" i="3"/>
  <c r="E13" i="3"/>
  <c r="F13" i="3"/>
  <c r="G13" i="3"/>
  <c r="H13" i="3"/>
  <c r="B14" i="3"/>
  <c r="C14" i="3"/>
  <c r="D14" i="3"/>
  <c r="E14" i="3"/>
  <c r="F14" i="3"/>
  <c r="G14" i="3"/>
  <c r="H14" i="3"/>
  <c r="B15" i="3"/>
  <c r="C15" i="3"/>
  <c r="D15" i="3"/>
  <c r="E15" i="3"/>
  <c r="F15" i="3"/>
  <c r="G15" i="3"/>
  <c r="H15" i="3"/>
  <c r="B16" i="3"/>
  <c r="C16" i="3"/>
  <c r="D16" i="3"/>
  <c r="E16" i="3"/>
  <c r="F16" i="3"/>
  <c r="G16" i="3"/>
  <c r="H16" i="3"/>
  <c r="B17" i="3"/>
  <c r="C17" i="3"/>
  <c r="D17" i="3"/>
  <c r="E17" i="3"/>
  <c r="F17" i="3"/>
  <c r="G17" i="3"/>
  <c r="H17" i="3"/>
  <c r="B18" i="3"/>
  <c r="C18" i="3"/>
  <c r="D18" i="3"/>
  <c r="E18" i="3"/>
  <c r="F18" i="3"/>
  <c r="G18" i="3"/>
  <c r="H18" i="3"/>
  <c r="C2" i="3"/>
  <c r="D2" i="3"/>
  <c r="E2" i="3"/>
  <c r="F2" i="3"/>
  <c r="G2" i="3"/>
  <c r="H2" i="3"/>
  <c r="B2" i="3"/>
  <c r="B22" i="4"/>
  <c r="C22" i="4"/>
  <c r="D22" i="4"/>
  <c r="E22" i="4"/>
  <c r="F22" i="4"/>
  <c r="G22" i="4"/>
  <c r="H22" i="4"/>
  <c r="I22" i="4"/>
  <c r="J22" i="4"/>
  <c r="K22" i="4"/>
  <c r="B23" i="4"/>
  <c r="C23" i="4"/>
  <c r="D23" i="4"/>
  <c r="E23" i="4"/>
  <c r="F23" i="4"/>
  <c r="G23" i="4"/>
  <c r="H23" i="4"/>
  <c r="I23" i="4"/>
  <c r="J23" i="4"/>
  <c r="K23" i="4"/>
  <c r="B24" i="4"/>
  <c r="C24" i="4"/>
  <c r="D24" i="4"/>
  <c r="E24" i="4"/>
  <c r="F24" i="4"/>
  <c r="G24" i="4"/>
  <c r="H24" i="4"/>
  <c r="I24" i="4"/>
  <c r="J24" i="4"/>
  <c r="K24" i="4"/>
  <c r="B25" i="4"/>
  <c r="C25" i="4"/>
  <c r="D25" i="4"/>
  <c r="E25" i="4"/>
  <c r="F25" i="4"/>
  <c r="G25" i="4"/>
  <c r="H25" i="4"/>
  <c r="I25" i="4"/>
  <c r="J25" i="4"/>
  <c r="K25" i="4"/>
  <c r="B26" i="4"/>
  <c r="C26" i="4"/>
  <c r="D26" i="4"/>
  <c r="E26" i="4"/>
  <c r="F26" i="4"/>
  <c r="G26" i="4"/>
  <c r="H26" i="4"/>
  <c r="I26" i="4"/>
  <c r="J26" i="4"/>
  <c r="K26" i="4"/>
  <c r="B27" i="4"/>
  <c r="C27" i="4"/>
  <c r="D27" i="4"/>
  <c r="E27" i="4"/>
  <c r="F27" i="4"/>
  <c r="G27" i="4"/>
  <c r="H27" i="4"/>
  <c r="I27" i="4"/>
  <c r="J27" i="4"/>
  <c r="K27" i="4"/>
  <c r="B28" i="4"/>
  <c r="C28" i="4"/>
  <c r="D28" i="4"/>
  <c r="E28" i="4"/>
  <c r="F28" i="4"/>
  <c r="G28" i="4"/>
  <c r="H28" i="4"/>
  <c r="I28" i="4"/>
  <c r="J28" i="4"/>
  <c r="K28" i="4"/>
  <c r="B29" i="4"/>
  <c r="C29" i="4"/>
  <c r="D29" i="4"/>
  <c r="E29" i="4"/>
  <c r="F29" i="4"/>
  <c r="G29" i="4"/>
  <c r="H29" i="4"/>
  <c r="I29" i="4"/>
  <c r="J29" i="4"/>
  <c r="K29" i="4"/>
  <c r="B30" i="4"/>
  <c r="C30" i="4"/>
  <c r="D30" i="4"/>
  <c r="E30" i="4"/>
  <c r="F30" i="4"/>
  <c r="G30" i="4"/>
  <c r="H30" i="4"/>
  <c r="I30" i="4"/>
  <c r="J30" i="4"/>
  <c r="K30" i="4"/>
  <c r="B31" i="4"/>
  <c r="C31" i="4"/>
  <c r="D31" i="4"/>
  <c r="E31" i="4"/>
  <c r="F31" i="4"/>
  <c r="G31" i="4"/>
  <c r="H31" i="4"/>
  <c r="I31" i="4"/>
  <c r="J31" i="4"/>
  <c r="K31" i="4"/>
  <c r="B32" i="4"/>
  <c r="C32" i="4"/>
  <c r="D32" i="4"/>
  <c r="E32" i="4"/>
  <c r="F32" i="4"/>
  <c r="G32" i="4"/>
  <c r="H32" i="4"/>
  <c r="I32" i="4"/>
  <c r="J32" i="4"/>
  <c r="K32" i="4"/>
  <c r="B33" i="4"/>
  <c r="C33" i="4"/>
  <c r="D33" i="4"/>
  <c r="E33" i="4"/>
  <c r="F33" i="4"/>
  <c r="G33" i="4"/>
  <c r="H33" i="4"/>
  <c r="I33" i="4"/>
  <c r="J33" i="4"/>
  <c r="K33" i="4"/>
  <c r="B34" i="4"/>
  <c r="C34" i="4"/>
  <c r="D34" i="4"/>
  <c r="E34" i="4"/>
  <c r="F34" i="4"/>
  <c r="G34" i="4"/>
  <c r="H34" i="4"/>
  <c r="I34" i="4"/>
  <c r="J34" i="4"/>
  <c r="K34" i="4"/>
  <c r="B35" i="4"/>
  <c r="C35" i="4"/>
  <c r="D35" i="4"/>
  <c r="E35" i="4"/>
  <c r="F35" i="4"/>
  <c r="G35" i="4"/>
  <c r="H35" i="4"/>
  <c r="I35" i="4"/>
  <c r="J35" i="4"/>
  <c r="K35" i="4"/>
  <c r="B36" i="4"/>
  <c r="C36" i="4"/>
  <c r="D36" i="4"/>
  <c r="E36" i="4"/>
  <c r="F36" i="4"/>
  <c r="G36" i="4"/>
  <c r="H36" i="4"/>
  <c r="I36" i="4"/>
  <c r="J36" i="4"/>
  <c r="K36" i="4"/>
  <c r="B37" i="4"/>
  <c r="C37" i="4"/>
  <c r="D37" i="4"/>
  <c r="E37" i="4"/>
  <c r="F37" i="4"/>
  <c r="G37" i="4"/>
  <c r="H37" i="4"/>
  <c r="I37" i="4"/>
  <c r="J37" i="4"/>
  <c r="K37" i="4"/>
  <c r="B38" i="4"/>
  <c r="C38" i="4"/>
  <c r="D38" i="4"/>
  <c r="E38" i="4"/>
  <c r="F38" i="4"/>
  <c r="G38" i="4"/>
  <c r="H38" i="4"/>
  <c r="I38" i="4"/>
  <c r="J38" i="4"/>
  <c r="K38" i="4"/>
  <c r="B39" i="4"/>
  <c r="C39" i="4"/>
  <c r="D39" i="4"/>
  <c r="E39" i="4"/>
  <c r="F39" i="4"/>
  <c r="G39" i="4"/>
  <c r="H39" i="4"/>
  <c r="I39" i="4"/>
  <c r="J39" i="4"/>
  <c r="K39" i="4"/>
  <c r="B40" i="4"/>
  <c r="C40" i="4"/>
  <c r="D40" i="4"/>
  <c r="E40" i="4"/>
  <c r="F40" i="4"/>
  <c r="G40" i="4"/>
  <c r="H40" i="4"/>
  <c r="I40" i="4"/>
  <c r="J40" i="4"/>
  <c r="K40" i="4"/>
  <c r="B41" i="4"/>
  <c r="C41" i="4"/>
  <c r="D41" i="4"/>
  <c r="E41" i="4"/>
  <c r="F41" i="4"/>
  <c r="G41" i="4"/>
  <c r="H41" i="4"/>
  <c r="I41" i="4"/>
  <c r="J41" i="4"/>
  <c r="K41" i="4"/>
  <c r="B42" i="4"/>
  <c r="C42" i="4"/>
  <c r="D42" i="4"/>
  <c r="E42" i="4"/>
  <c r="F42" i="4"/>
  <c r="G42" i="4"/>
  <c r="H42" i="4"/>
  <c r="I42" i="4"/>
  <c r="J42" i="4"/>
  <c r="K42" i="4"/>
  <c r="B43" i="4"/>
  <c r="C43" i="4"/>
  <c r="D43" i="4"/>
  <c r="E43" i="4"/>
  <c r="F43" i="4"/>
  <c r="G43" i="4"/>
  <c r="H43" i="4"/>
  <c r="I43" i="4"/>
  <c r="J43" i="4"/>
  <c r="K43" i="4"/>
  <c r="B44" i="4"/>
  <c r="C44" i="4"/>
  <c r="D44" i="4"/>
  <c r="E44" i="4"/>
  <c r="F44" i="4"/>
  <c r="G44" i="4"/>
  <c r="H44" i="4"/>
  <c r="I44" i="4"/>
  <c r="J44" i="4"/>
  <c r="K44" i="4"/>
  <c r="B45" i="4"/>
  <c r="C45" i="4"/>
  <c r="D45" i="4"/>
  <c r="E45" i="4"/>
  <c r="F45" i="4"/>
  <c r="G45" i="4"/>
  <c r="H45" i="4"/>
  <c r="I45" i="4"/>
  <c r="J45" i="4"/>
  <c r="K45" i="4"/>
  <c r="B46" i="4"/>
  <c r="C46" i="4"/>
  <c r="D46" i="4"/>
  <c r="E46" i="4"/>
  <c r="F46" i="4"/>
  <c r="G46" i="4"/>
  <c r="H46" i="4"/>
  <c r="I46" i="4"/>
  <c r="J46" i="4"/>
  <c r="K46" i="4"/>
  <c r="B47" i="4"/>
  <c r="C47" i="4"/>
  <c r="D47" i="4"/>
  <c r="E47" i="4"/>
  <c r="F47" i="4"/>
  <c r="G47" i="4"/>
  <c r="H47" i="4"/>
  <c r="I47" i="4"/>
  <c r="J47" i="4"/>
  <c r="K47" i="4"/>
  <c r="B3" i="4"/>
  <c r="C3" i="4"/>
  <c r="D3" i="4"/>
  <c r="E3" i="4"/>
  <c r="F3" i="4"/>
  <c r="G3" i="4"/>
  <c r="H3" i="4"/>
  <c r="I3" i="4"/>
  <c r="J3" i="4"/>
  <c r="K3" i="4"/>
  <c r="B4" i="4"/>
  <c r="C4" i="4"/>
  <c r="D4" i="4"/>
  <c r="E4" i="4"/>
  <c r="F4" i="4"/>
  <c r="G4" i="4"/>
  <c r="H4" i="4"/>
  <c r="I4" i="4"/>
  <c r="J4" i="4"/>
  <c r="K4" i="4"/>
  <c r="B5" i="4"/>
  <c r="C5" i="4"/>
  <c r="D5" i="4"/>
  <c r="E5" i="4"/>
  <c r="F5" i="4"/>
  <c r="G5" i="4"/>
  <c r="H5" i="4"/>
  <c r="I5" i="4"/>
  <c r="J5" i="4"/>
  <c r="K5" i="4"/>
  <c r="B6" i="4"/>
  <c r="C6" i="4"/>
  <c r="D6" i="4"/>
  <c r="E6" i="4"/>
  <c r="F6" i="4"/>
  <c r="G6" i="4"/>
  <c r="H6" i="4"/>
  <c r="I6" i="4"/>
  <c r="J6" i="4"/>
  <c r="K6" i="4"/>
  <c r="B7" i="4"/>
  <c r="C7" i="4"/>
  <c r="D7" i="4"/>
  <c r="E7" i="4"/>
  <c r="F7" i="4"/>
  <c r="G7" i="4"/>
  <c r="H7" i="4"/>
  <c r="I7" i="4"/>
  <c r="J7" i="4"/>
  <c r="K7" i="4"/>
  <c r="B8" i="4"/>
  <c r="C8" i="4"/>
  <c r="D8" i="4"/>
  <c r="E8" i="4"/>
  <c r="F8" i="4"/>
  <c r="G8" i="4"/>
  <c r="H8" i="4"/>
  <c r="I8" i="4"/>
  <c r="J8" i="4"/>
  <c r="K8" i="4"/>
  <c r="B9" i="4"/>
  <c r="C9" i="4"/>
  <c r="D9" i="4"/>
  <c r="E9" i="4"/>
  <c r="F9" i="4"/>
  <c r="G9" i="4"/>
  <c r="H9" i="4"/>
  <c r="I9" i="4"/>
  <c r="J9" i="4"/>
  <c r="K9" i="4"/>
  <c r="B10" i="4"/>
  <c r="C10" i="4"/>
  <c r="D10" i="4"/>
  <c r="E10" i="4"/>
  <c r="F10" i="4"/>
  <c r="G10" i="4"/>
  <c r="H10" i="4"/>
  <c r="I10" i="4"/>
  <c r="J10" i="4"/>
  <c r="K10" i="4"/>
  <c r="B11" i="4"/>
  <c r="C11" i="4"/>
  <c r="D11" i="4"/>
  <c r="E11" i="4"/>
  <c r="F11" i="4"/>
  <c r="G11" i="4"/>
  <c r="H11" i="4"/>
  <c r="I11" i="4"/>
  <c r="J11" i="4"/>
  <c r="K11" i="4"/>
  <c r="B12" i="4"/>
  <c r="C12" i="4"/>
  <c r="D12" i="4"/>
  <c r="E12" i="4"/>
  <c r="F12" i="4"/>
  <c r="G12" i="4"/>
  <c r="H12" i="4"/>
  <c r="I12" i="4"/>
  <c r="J12" i="4"/>
  <c r="K12" i="4"/>
  <c r="B13" i="4"/>
  <c r="C13" i="4"/>
  <c r="D13" i="4"/>
  <c r="E13" i="4"/>
  <c r="F13" i="4"/>
  <c r="G13" i="4"/>
  <c r="H13" i="4"/>
  <c r="I13" i="4"/>
  <c r="J13" i="4"/>
  <c r="K13" i="4"/>
  <c r="B14" i="4"/>
  <c r="C14" i="4"/>
  <c r="D14" i="4"/>
  <c r="E14" i="4"/>
  <c r="F14" i="4"/>
  <c r="G14" i="4"/>
  <c r="H14" i="4"/>
  <c r="I14" i="4"/>
  <c r="J14" i="4"/>
  <c r="K14" i="4"/>
  <c r="B15" i="4"/>
  <c r="C15" i="4"/>
  <c r="D15" i="4"/>
  <c r="E15" i="4"/>
  <c r="F15" i="4"/>
  <c r="G15" i="4"/>
  <c r="H15" i="4"/>
  <c r="I15" i="4"/>
  <c r="J15" i="4"/>
  <c r="K15" i="4"/>
  <c r="B16" i="4"/>
  <c r="C16" i="4"/>
  <c r="D16" i="4"/>
  <c r="E16" i="4"/>
  <c r="F16" i="4"/>
  <c r="G16" i="4"/>
  <c r="H16" i="4"/>
  <c r="I16" i="4"/>
  <c r="J16" i="4"/>
  <c r="K16" i="4"/>
  <c r="B17" i="4"/>
  <c r="C17" i="4"/>
  <c r="D17" i="4"/>
  <c r="E17" i="4"/>
  <c r="F17" i="4"/>
  <c r="G17" i="4"/>
  <c r="H17" i="4"/>
  <c r="I17" i="4"/>
  <c r="J17" i="4"/>
  <c r="K17" i="4"/>
  <c r="B18" i="4"/>
  <c r="C18" i="4"/>
  <c r="D18" i="4"/>
  <c r="E18" i="4"/>
  <c r="F18" i="4"/>
  <c r="G18" i="4"/>
  <c r="H18" i="4"/>
  <c r="I18" i="4"/>
  <c r="J18" i="4"/>
  <c r="K18" i="4"/>
  <c r="B19" i="4"/>
  <c r="C19" i="4"/>
  <c r="D19" i="4"/>
  <c r="E19" i="4"/>
  <c r="F19" i="4"/>
  <c r="G19" i="4"/>
  <c r="H19" i="4"/>
  <c r="I19" i="4"/>
  <c r="J19" i="4"/>
  <c r="K19" i="4"/>
  <c r="B20" i="4"/>
  <c r="C20" i="4"/>
  <c r="D20" i="4"/>
  <c r="E20" i="4"/>
  <c r="F20" i="4"/>
  <c r="G20" i="4"/>
  <c r="H20" i="4"/>
  <c r="I20" i="4"/>
  <c r="J20" i="4"/>
  <c r="K20" i="4"/>
  <c r="B21" i="4"/>
  <c r="C21" i="4"/>
  <c r="D21" i="4"/>
  <c r="E21" i="4"/>
  <c r="F21" i="4"/>
  <c r="G21" i="4"/>
  <c r="H21" i="4"/>
  <c r="I21" i="4"/>
  <c r="J21" i="4"/>
  <c r="K21" i="4"/>
  <c r="C2" i="4"/>
  <c r="D2" i="4"/>
  <c r="E2" i="4"/>
  <c r="F2" i="4"/>
  <c r="G2" i="4"/>
  <c r="H2" i="4"/>
  <c r="I2" i="4"/>
  <c r="J2" i="4"/>
  <c r="K2" i="4"/>
  <c r="B2" i="4"/>
  <c r="B4" i="5"/>
  <c r="C4" i="5"/>
  <c r="D4" i="5"/>
  <c r="E4" i="5"/>
  <c r="F4" i="5"/>
  <c r="G4" i="5"/>
  <c r="H4" i="5"/>
  <c r="I4" i="5"/>
  <c r="J4" i="5"/>
  <c r="K4" i="5"/>
  <c r="B5" i="5"/>
  <c r="C5" i="5"/>
  <c r="D5" i="5"/>
  <c r="E5" i="5"/>
  <c r="F5" i="5"/>
  <c r="G5" i="5"/>
  <c r="H5" i="5"/>
  <c r="I5" i="5"/>
  <c r="J5" i="5"/>
  <c r="K5" i="5"/>
  <c r="B6" i="5"/>
  <c r="C6" i="5"/>
  <c r="D6" i="5"/>
  <c r="E6" i="5"/>
  <c r="F6" i="5"/>
  <c r="G6" i="5"/>
  <c r="H6" i="5"/>
  <c r="I6" i="5"/>
  <c r="J6" i="5"/>
  <c r="K6" i="5"/>
  <c r="B7" i="5"/>
  <c r="C7" i="5"/>
  <c r="D7" i="5"/>
  <c r="E7" i="5"/>
  <c r="F7" i="5"/>
  <c r="G7" i="5"/>
  <c r="H7" i="5"/>
  <c r="I7" i="5"/>
  <c r="J7" i="5"/>
  <c r="K7" i="5"/>
  <c r="B8" i="5"/>
  <c r="C8" i="5"/>
  <c r="D8" i="5"/>
  <c r="E8" i="5"/>
  <c r="F8" i="5"/>
  <c r="G8" i="5"/>
  <c r="H8" i="5"/>
  <c r="I8" i="5"/>
  <c r="J8" i="5"/>
  <c r="K8" i="5"/>
  <c r="B9" i="5"/>
  <c r="C9" i="5"/>
  <c r="D9" i="5"/>
  <c r="E9" i="5"/>
  <c r="F9" i="5"/>
  <c r="G9" i="5"/>
  <c r="H9" i="5"/>
  <c r="I9" i="5"/>
  <c r="J9" i="5"/>
  <c r="K9" i="5"/>
  <c r="B10" i="5"/>
  <c r="C10" i="5"/>
  <c r="D10" i="5"/>
  <c r="E10" i="5"/>
  <c r="F10" i="5"/>
  <c r="G10" i="5"/>
  <c r="H10" i="5"/>
  <c r="I10" i="5"/>
  <c r="J10" i="5"/>
  <c r="K10" i="5"/>
  <c r="B11" i="5"/>
  <c r="C11" i="5"/>
  <c r="D11" i="5"/>
  <c r="E11" i="5"/>
  <c r="F11" i="5"/>
  <c r="G11" i="5"/>
  <c r="H11" i="5"/>
  <c r="I11" i="5"/>
  <c r="J11" i="5"/>
  <c r="K11" i="5"/>
  <c r="B12" i="5"/>
  <c r="C12" i="5"/>
  <c r="D12" i="5"/>
  <c r="E12" i="5"/>
  <c r="F12" i="5"/>
  <c r="G12" i="5"/>
  <c r="H12" i="5"/>
  <c r="I12" i="5"/>
  <c r="J12" i="5"/>
  <c r="K12" i="5"/>
  <c r="B13" i="5"/>
  <c r="C13" i="5"/>
  <c r="D13" i="5"/>
  <c r="E13" i="5"/>
  <c r="F13" i="5"/>
  <c r="G13" i="5"/>
  <c r="H13" i="5"/>
  <c r="I13" i="5"/>
  <c r="J13" i="5"/>
  <c r="K13" i="5"/>
  <c r="B14" i="5"/>
  <c r="C14" i="5"/>
  <c r="D14" i="5"/>
  <c r="E14" i="5"/>
  <c r="F14" i="5"/>
  <c r="G14" i="5"/>
  <c r="H14" i="5"/>
  <c r="I14" i="5"/>
  <c r="J14" i="5"/>
  <c r="K14" i="5"/>
  <c r="B15" i="5"/>
  <c r="C15" i="5"/>
  <c r="D15" i="5"/>
  <c r="E15" i="5"/>
  <c r="F15" i="5"/>
  <c r="G15" i="5"/>
  <c r="H15" i="5"/>
  <c r="I15" i="5"/>
  <c r="J15" i="5"/>
  <c r="K15" i="5"/>
  <c r="B16" i="5"/>
  <c r="C16" i="5"/>
  <c r="D16" i="5"/>
  <c r="E16" i="5"/>
  <c r="F16" i="5"/>
  <c r="G16" i="5"/>
  <c r="H16" i="5"/>
  <c r="I16" i="5"/>
  <c r="J16" i="5"/>
  <c r="K16" i="5"/>
  <c r="B17" i="5"/>
  <c r="C17" i="5"/>
  <c r="D17" i="5"/>
  <c r="E17" i="5"/>
  <c r="F17" i="5"/>
  <c r="G17" i="5"/>
  <c r="H17" i="5"/>
  <c r="I17" i="5"/>
  <c r="J17" i="5"/>
  <c r="K17" i="5"/>
  <c r="B18" i="5"/>
  <c r="C18" i="5"/>
  <c r="D18" i="5"/>
  <c r="E18" i="5"/>
  <c r="F18" i="5"/>
  <c r="G18" i="5"/>
  <c r="H18" i="5"/>
  <c r="I18" i="5"/>
  <c r="J18" i="5"/>
  <c r="K18" i="5"/>
  <c r="B19" i="5"/>
  <c r="C19" i="5"/>
  <c r="D19" i="5"/>
  <c r="E19" i="5"/>
  <c r="F19" i="5"/>
  <c r="G19" i="5"/>
  <c r="H19" i="5"/>
  <c r="I19" i="5"/>
  <c r="J19" i="5"/>
  <c r="K19" i="5"/>
  <c r="B20" i="5"/>
  <c r="C20" i="5"/>
  <c r="D20" i="5"/>
  <c r="E20" i="5"/>
  <c r="F20" i="5"/>
  <c r="G20" i="5"/>
  <c r="H20" i="5"/>
  <c r="I20" i="5"/>
  <c r="J20" i="5"/>
  <c r="K20" i="5"/>
  <c r="B21" i="5"/>
  <c r="C21" i="5"/>
  <c r="D21" i="5"/>
  <c r="E21" i="5"/>
  <c r="F21" i="5"/>
  <c r="G21" i="5"/>
  <c r="H21" i="5"/>
  <c r="I21" i="5"/>
  <c r="J21" i="5"/>
  <c r="K21" i="5"/>
  <c r="B22" i="5"/>
  <c r="C22" i="5"/>
  <c r="D22" i="5"/>
  <c r="E22" i="5"/>
  <c r="F22" i="5"/>
  <c r="G22" i="5"/>
  <c r="H22" i="5"/>
  <c r="I22" i="5"/>
  <c r="J22" i="5"/>
  <c r="K22" i="5"/>
  <c r="C3" i="5"/>
  <c r="D3" i="5"/>
  <c r="E3" i="5"/>
  <c r="F3" i="5"/>
  <c r="G3" i="5"/>
  <c r="H3" i="5"/>
  <c r="I3" i="5"/>
  <c r="J3" i="5"/>
  <c r="K3" i="5"/>
  <c r="B3" i="5"/>
  <c r="B13" i="1"/>
  <c r="C13" i="1"/>
  <c r="D13" i="1"/>
  <c r="E13" i="1"/>
  <c r="F13" i="1"/>
  <c r="G13" i="1"/>
  <c r="H13" i="1"/>
  <c r="I13" i="1"/>
  <c r="J13" i="1"/>
  <c r="K13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B37" i="1"/>
  <c r="C37" i="1"/>
  <c r="D37" i="1"/>
  <c r="E37" i="1"/>
  <c r="F37" i="1"/>
  <c r="G37" i="1"/>
  <c r="H37" i="1"/>
  <c r="I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I39" i="1"/>
  <c r="J39" i="1"/>
  <c r="K39" i="1"/>
  <c r="B40" i="1"/>
  <c r="C40" i="1"/>
  <c r="D40" i="1"/>
  <c r="E40" i="1"/>
  <c r="F40" i="1"/>
  <c r="G40" i="1"/>
  <c r="H40" i="1"/>
  <c r="I40" i="1"/>
  <c r="J40" i="1"/>
  <c r="K40" i="1"/>
  <c r="B41" i="1"/>
  <c r="C41" i="1"/>
  <c r="D41" i="1"/>
  <c r="E41" i="1"/>
  <c r="F41" i="1"/>
  <c r="G41" i="1"/>
  <c r="H41" i="1"/>
  <c r="I41" i="1"/>
  <c r="J41" i="1"/>
  <c r="K41" i="1"/>
  <c r="B42" i="1"/>
  <c r="C42" i="1"/>
  <c r="D42" i="1"/>
  <c r="E42" i="1"/>
  <c r="F42" i="1"/>
  <c r="G42" i="1"/>
  <c r="H42" i="1"/>
  <c r="I42" i="1"/>
  <c r="J42" i="1"/>
  <c r="K42" i="1"/>
  <c r="B3" i="1"/>
  <c r="C3" i="1"/>
  <c r="D3" i="1"/>
  <c r="E3" i="1"/>
  <c r="F3" i="1"/>
  <c r="G3" i="1"/>
  <c r="H3" i="1"/>
  <c r="I3" i="1"/>
  <c r="J3" i="1"/>
  <c r="K3" i="1"/>
  <c r="B4" i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C2" i="1"/>
  <c r="D2" i="1"/>
  <c r="E2" i="1"/>
  <c r="F2" i="1"/>
  <c r="G2" i="1"/>
  <c r="H2" i="1"/>
  <c r="I2" i="1"/>
  <c r="J2" i="1"/>
  <c r="K2" i="1"/>
  <c r="B2" i="1"/>
</calcChain>
</file>

<file path=xl/sharedStrings.xml><?xml version="1.0" encoding="utf-8"?>
<sst xmlns="http://schemas.openxmlformats.org/spreadsheetml/2006/main" count="5" uniqueCount="4">
  <si>
    <t>α=</t>
    <phoneticPr fontId="1" type="noConversion"/>
  </si>
  <si>
    <r>
      <t>df/</t>
    </r>
    <r>
      <rPr>
        <b/>
        <sz val="11"/>
        <color rgb="FFFF0000"/>
        <rFont val="等线"/>
        <family val="3"/>
        <charset val="134"/>
        <scheme val="minor"/>
      </rPr>
      <t>α</t>
    </r>
    <phoneticPr fontId="1" type="noConversion"/>
  </si>
  <si>
    <r>
      <t>df2/</t>
    </r>
    <r>
      <rPr>
        <b/>
        <sz val="11"/>
        <color rgb="FFFF0000"/>
        <rFont val="等线"/>
        <family val="3"/>
        <charset val="134"/>
        <scheme val="minor"/>
      </rPr>
      <t>df1</t>
    </r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</si>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</sst>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_ "/>
    <numFmt numFmtId="177" formatCode="0.0_ "/>
    <numFmt numFmtId="178" formatCode="0.00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78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811828E0-965B-45B0-ABF6-841D469B51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68355</xdr:colOff>
      <xdr:row>10</xdr:row>
      <xdr:rowOff>2989</xdr:rowOff>
    </xdr:from>
    <xdr:to>
      <xdr:col>16</xdr:col>
      <xdr:colOff>524175</xdr:colOff>
      <xdr:row>22</xdr:row>
      <xdr:rowOff>84045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FFA0CD5-99CD-40E5-BC1B-12691A7F3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2755" y="1780989"/>
          <a:ext cx="3757820" cy="22146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514350</xdr:colOff>
      <xdr:row>3</xdr:row>
      <xdr:rowOff>152400</xdr:rowOff>
    </xdr:from>
    <xdr:to>
      <xdr:col>15</xdr:col>
      <xdr:colOff>621084</xdr:colOff>
      <xdr:row>16</xdr:row>
      <xdr:rowOff>34695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C56D493-2911-4495-88B0-05B3B3D67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85800"/>
          <a:ext cx="4069134" cy="21936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203200</xdr:colOff>
      <xdr:row>2</xdr:row>
      <xdr:rowOff>146050</xdr:rowOff>
    </xdr:from>
    <xdr:to>
      <xdr:col>17</xdr:col>
      <xdr:colOff>417335</xdr:colOff>
      <xdr:row>13</xdr:row>
      <xdr:rowOff>15681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5C22CA7-0F89-4E8A-B3AF-EE13EFB45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0500" y="501650"/>
          <a:ext cx="2855735" cy="18254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31750</xdr:colOff>
      <xdr:row>4</xdr:row>
      <xdr:rowOff>127000</xdr:rowOff>
    </xdr:from>
    <xdr:to>
      <xdr:col>17</xdr:col>
      <xdr:colOff>386893</xdr:colOff>
      <xdr:row>14</xdr:row>
      <xdr:rowOff>149000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A838086-A213-4B36-B772-418EA3ACF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6550" y="838200"/>
          <a:ext cx="3657143" cy="1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opLeftCell="A44" zoomScaleNormal="100" workbookViewId="0">
      <selection activeCell="B49" sqref="B49"/>
    </sheetView>
  </sheetViews>
  <sheetFormatPr defaultRowHeight="14" x14ac:dyDescent="0.3"/>
  <cols>
    <col min="1" max="1" width="8.6640625" style="6"/>
    <col min="2" max="16384" width="8.6640625" style="1"/>
  </cols>
  <sheetData>
    <row r="1" spans="1:11" x14ac:dyDescent="0.3">
      <c r="A1" s="10" t="s">
        <v>3</v>
      </c>
      <c r="B1" s="11">
        <v>0</v>
      </c>
      <c r="C1" s="11">
        <v>0.01</v>
      </c>
      <c r="D1" s="11">
        <v>0.02</v>
      </c>
      <c r="E1" s="11">
        <v>0.03</v>
      </c>
      <c r="F1" s="11">
        <v>0.04</v>
      </c>
      <c r="G1" s="11">
        <v>0.05</v>
      </c>
      <c r="H1" s="11">
        <v>0.06</v>
      </c>
      <c r="I1" s="11">
        <v>7.0000000000000007E-2</v>
      </c>
      <c r="J1" s="11">
        <v>0.08</v>
      </c>
      <c r="K1" s="11">
        <v>0.09</v>
      </c>
    </row>
    <row r="2" spans="1:11" x14ac:dyDescent="0.3">
      <c r="A2" s="12">
        <v>0</v>
      </c>
      <c r="B2" s="13">
        <f>_xlfn.NORM.S.DIST($A2+B$1,TRUE)</f>
        <v>0.5</v>
      </c>
      <c r="C2" s="13">
        <f t="shared" ref="C2:K17" si="0">_xlfn.NORM.S.DIST($A2+C$1,TRUE)</f>
        <v>0.5039893563146316</v>
      </c>
      <c r="D2" s="13">
        <f t="shared" si="0"/>
        <v>0.50797831371690205</v>
      </c>
      <c r="E2" s="13">
        <f t="shared" si="0"/>
        <v>0.51196647341411272</v>
      </c>
      <c r="F2" s="13">
        <f t="shared" si="0"/>
        <v>0.51595343685283068</v>
      </c>
      <c r="G2" s="13">
        <f t="shared" si="0"/>
        <v>0.51993880583837249</v>
      </c>
      <c r="H2" s="13">
        <f t="shared" si="0"/>
        <v>0.52392218265410684</v>
      </c>
      <c r="I2" s="13">
        <f t="shared" si="0"/>
        <v>0.52790317018052113</v>
      </c>
      <c r="J2" s="13">
        <f t="shared" si="0"/>
        <v>0.53188137201398744</v>
      </c>
      <c r="K2" s="13">
        <f t="shared" si="0"/>
        <v>0.53585639258517204</v>
      </c>
    </row>
    <row r="3" spans="1:11" x14ac:dyDescent="0.3">
      <c r="A3" s="12">
        <v>0.1</v>
      </c>
      <c r="B3" s="13">
        <f t="shared" ref="B3:K18" si="1">_xlfn.NORM.S.DIST($A3+B$1,TRUE)</f>
        <v>0.53982783727702899</v>
      </c>
      <c r="C3" s="13">
        <f t="shared" si="0"/>
        <v>0.54379531254231672</v>
      </c>
      <c r="D3" s="13">
        <f t="shared" si="0"/>
        <v>0.54775842602058389</v>
      </c>
      <c r="E3" s="13">
        <f t="shared" si="0"/>
        <v>0.55171678665456114</v>
      </c>
      <c r="F3" s="13">
        <f t="shared" si="0"/>
        <v>0.55567000480590645</v>
      </c>
      <c r="G3" s="13">
        <f t="shared" si="0"/>
        <v>0.5596176923702425</v>
      </c>
      <c r="H3" s="13">
        <f t="shared" si="0"/>
        <v>0.56355946289143288</v>
      </c>
      <c r="I3" s="13">
        <f t="shared" si="0"/>
        <v>0.56749493167503839</v>
      </c>
      <c r="J3" s="13">
        <f t="shared" si="0"/>
        <v>0.5714237159009008</v>
      </c>
      <c r="K3" s="13">
        <f t="shared" si="0"/>
        <v>0.57534543473479549</v>
      </c>
    </row>
    <row r="4" spans="1:11" x14ac:dyDescent="0.3">
      <c r="A4" s="12">
        <v>0.2</v>
      </c>
      <c r="B4" s="13">
        <f t="shared" si="1"/>
        <v>0.57925970943910299</v>
      </c>
      <c r="C4" s="13">
        <f t="shared" si="0"/>
        <v>0.58316616348244232</v>
      </c>
      <c r="D4" s="13">
        <f t="shared" si="0"/>
        <v>0.58706442264821468</v>
      </c>
      <c r="E4" s="13">
        <f t="shared" si="0"/>
        <v>0.59095411514200591</v>
      </c>
      <c r="F4" s="13">
        <f t="shared" si="0"/>
        <v>0.59483487169779581</v>
      </c>
      <c r="G4" s="13">
        <f t="shared" si="0"/>
        <v>0.5987063256829237</v>
      </c>
      <c r="H4" s="13">
        <f t="shared" si="0"/>
        <v>0.60256811320176051</v>
      </c>
      <c r="I4" s="13">
        <f t="shared" si="0"/>
        <v>0.60641987319803947</v>
      </c>
      <c r="J4" s="13">
        <f t="shared" si="0"/>
        <v>0.61026124755579725</v>
      </c>
      <c r="K4" s="13">
        <f t="shared" si="0"/>
        <v>0.61409188119887737</v>
      </c>
    </row>
    <row r="5" spans="1:11" x14ac:dyDescent="0.3">
      <c r="A5" s="12">
        <v>0.3</v>
      </c>
      <c r="B5" s="13">
        <f t="shared" si="1"/>
        <v>0.61791142218895267</v>
      </c>
      <c r="C5" s="13">
        <f t="shared" si="0"/>
        <v>0.62171952182201928</v>
      </c>
      <c r="D5" s="13">
        <f t="shared" si="0"/>
        <v>0.62551583472332006</v>
      </c>
      <c r="E5" s="13">
        <f t="shared" si="0"/>
        <v>0.62930001894065346</v>
      </c>
      <c r="F5" s="13">
        <f t="shared" si="0"/>
        <v>0.63307173603602807</v>
      </c>
      <c r="G5" s="13">
        <f t="shared" si="0"/>
        <v>0.6368306511756191</v>
      </c>
      <c r="H5" s="13">
        <f t="shared" si="0"/>
        <v>0.64057643321799129</v>
      </c>
      <c r="I5" s="13">
        <f t="shared" si="0"/>
        <v>0.64430875480054683</v>
      </c>
      <c r="J5" s="13">
        <f t="shared" si="0"/>
        <v>0.64802729242416279</v>
      </c>
      <c r="K5" s="13">
        <f t="shared" si="0"/>
        <v>0.65173172653598244</v>
      </c>
    </row>
    <row r="6" spans="1:11" x14ac:dyDescent="0.3">
      <c r="A6" s="12">
        <v>0.4</v>
      </c>
      <c r="B6" s="13">
        <f t="shared" si="1"/>
        <v>0.65542174161032429</v>
      </c>
      <c r="C6" s="13">
        <f t="shared" si="0"/>
        <v>0.65909702622767741</v>
      </c>
      <c r="D6" s="13">
        <f t="shared" si="0"/>
        <v>0.66275727315175059</v>
      </c>
      <c r="E6" s="13">
        <f t="shared" si="0"/>
        <v>0.66640217940454238</v>
      </c>
      <c r="F6" s="13">
        <f t="shared" si="0"/>
        <v>0.67003144633940637</v>
      </c>
      <c r="G6" s="13">
        <f t="shared" si="0"/>
        <v>0.67364477971208003</v>
      </c>
      <c r="H6" s="13">
        <f t="shared" si="0"/>
        <v>0.67724188974965227</v>
      </c>
      <c r="I6" s="13">
        <f t="shared" si="0"/>
        <v>0.6808224912174442</v>
      </c>
      <c r="J6" s="13">
        <f t="shared" si="0"/>
        <v>0.68438630348377749</v>
      </c>
      <c r="K6" s="13">
        <f t="shared" si="0"/>
        <v>0.68793305058260945</v>
      </c>
    </row>
    <row r="7" spans="1:11" x14ac:dyDescent="0.3">
      <c r="A7" s="12">
        <v>0.5</v>
      </c>
      <c r="B7" s="13">
        <f t="shared" si="1"/>
        <v>0.69146246127401312</v>
      </c>
      <c r="C7" s="13">
        <f t="shared" si="0"/>
        <v>0.69497426910248061</v>
      </c>
      <c r="D7" s="13">
        <f t="shared" si="0"/>
        <v>0.69846821245303381</v>
      </c>
      <c r="E7" s="13">
        <f t="shared" si="0"/>
        <v>0.70194403460512356</v>
      </c>
      <c r="F7" s="13">
        <f t="shared" si="0"/>
        <v>0.70540148378430201</v>
      </c>
      <c r="G7" s="13">
        <f t="shared" si="0"/>
        <v>0.70884031321165364</v>
      </c>
      <c r="H7" s="13">
        <f t="shared" si="0"/>
        <v>0.71226028115097295</v>
      </c>
      <c r="I7" s="13">
        <f t="shared" si="0"/>
        <v>0.71566115095367588</v>
      </c>
      <c r="J7" s="13">
        <f t="shared" si="0"/>
        <v>0.7190426911014357</v>
      </c>
      <c r="K7" s="13">
        <f t="shared" si="0"/>
        <v>0.72240467524653507</v>
      </c>
    </row>
    <row r="8" spans="1:11" x14ac:dyDescent="0.3">
      <c r="A8" s="12">
        <v>0.6</v>
      </c>
      <c r="B8" s="13">
        <f t="shared" si="1"/>
        <v>0.72574688224992645</v>
      </c>
      <c r="C8" s="13">
        <f t="shared" si="0"/>
        <v>0.72906909621699434</v>
      </c>
      <c r="D8" s="13">
        <f t="shared" si="0"/>
        <v>0.732371106531017</v>
      </c>
      <c r="E8" s="13">
        <f t="shared" si="0"/>
        <v>0.73565270788432247</v>
      </c>
      <c r="F8" s="13">
        <f t="shared" si="0"/>
        <v>0.73891370030713843</v>
      </c>
      <c r="G8" s="13">
        <f t="shared" si="0"/>
        <v>0.74215388919413527</v>
      </c>
      <c r="H8" s="13">
        <f t="shared" si="0"/>
        <v>0.74537308532866386</v>
      </c>
      <c r="I8" s="13">
        <f t="shared" si="0"/>
        <v>0.74857110490468992</v>
      </c>
      <c r="J8" s="13">
        <f t="shared" si="0"/>
        <v>0.75174776954642952</v>
      </c>
      <c r="K8" s="13">
        <f t="shared" si="0"/>
        <v>0.75490290632569057</v>
      </c>
    </row>
    <row r="9" spans="1:11" x14ac:dyDescent="0.3">
      <c r="A9" s="12">
        <v>0.7</v>
      </c>
      <c r="B9" s="13">
        <f t="shared" si="1"/>
        <v>0.75803634777692697</v>
      </c>
      <c r="C9" s="13">
        <f t="shared" si="0"/>
        <v>0.76114793191001329</v>
      </c>
      <c r="D9" s="13">
        <f t="shared" si="0"/>
        <v>0.76423750222074882</v>
      </c>
      <c r="E9" s="13">
        <f t="shared" si="0"/>
        <v>0.76730490769910253</v>
      </c>
      <c r="F9" s="13">
        <f t="shared" si="0"/>
        <v>0.77035000283520938</v>
      </c>
      <c r="G9" s="13">
        <f t="shared" si="0"/>
        <v>0.77337264762313174</v>
      </c>
      <c r="H9" s="13">
        <f t="shared" si="0"/>
        <v>0.77637270756240062</v>
      </c>
      <c r="I9" s="13">
        <f t="shared" si="0"/>
        <v>0.77935005365735044</v>
      </c>
      <c r="J9" s="13">
        <f t="shared" si="0"/>
        <v>0.78230456241426682</v>
      </c>
      <c r="K9" s="13">
        <f t="shared" si="0"/>
        <v>0.78523611583636277</v>
      </c>
    </row>
    <row r="10" spans="1:11" x14ac:dyDescent="0.3">
      <c r="A10" s="12">
        <v>0.8</v>
      </c>
      <c r="B10" s="13">
        <f t="shared" si="1"/>
        <v>0.78814460141660336</v>
      </c>
      <c r="C10" s="13">
        <f t="shared" si="0"/>
        <v>0.79102991212839835</v>
      </c>
      <c r="D10" s="13">
        <f t="shared" si="0"/>
        <v>0.79389194641418692</v>
      </c>
      <c r="E10" s="13">
        <f t="shared" si="0"/>
        <v>0.79673060817193164</v>
      </c>
      <c r="F10" s="13">
        <f t="shared" si="0"/>
        <v>0.79954580673955034</v>
      </c>
      <c r="G10" s="13">
        <f t="shared" si="0"/>
        <v>0.80233745687730762</v>
      </c>
      <c r="H10" s="13">
        <f t="shared" si="0"/>
        <v>0.80510547874819172</v>
      </c>
      <c r="I10" s="13">
        <f t="shared" si="0"/>
        <v>0.80784979789630385</v>
      </c>
      <c r="J10" s="13">
        <f t="shared" si="0"/>
        <v>0.81057034522328786</v>
      </c>
      <c r="K10" s="13">
        <f t="shared" si="0"/>
        <v>0.81326705696282742</v>
      </c>
    </row>
    <row r="11" spans="1:11" x14ac:dyDescent="0.3">
      <c r="A11" s="12">
        <v>0.9</v>
      </c>
      <c r="B11" s="13">
        <f t="shared" si="1"/>
        <v>0.81593987465324047</v>
      </c>
      <c r="C11" s="13">
        <f t="shared" si="0"/>
        <v>0.81858874510820279</v>
      </c>
      <c r="D11" s="13">
        <f t="shared" si="0"/>
        <v>0.82121362038562828</v>
      </c>
      <c r="E11" s="13">
        <f t="shared" si="0"/>
        <v>0.82381445775474216</v>
      </c>
      <c r="F11" s="13">
        <f t="shared" si="0"/>
        <v>0.82639121966137552</v>
      </c>
      <c r="G11" s="13">
        <f t="shared" si="0"/>
        <v>0.82894387369151823</v>
      </c>
      <c r="H11" s="13">
        <f t="shared" si="0"/>
        <v>0.83147239253316219</v>
      </c>
      <c r="I11" s="13">
        <f t="shared" si="0"/>
        <v>0.83397675393647042</v>
      </c>
      <c r="J11" s="13">
        <f t="shared" si="0"/>
        <v>0.83645694067230769</v>
      </c>
      <c r="K11" s="13">
        <f t="shared" si="0"/>
        <v>0.83891294048916909</v>
      </c>
    </row>
    <row r="12" spans="1:11" x14ac:dyDescent="0.3">
      <c r="A12" s="12">
        <v>1</v>
      </c>
      <c r="B12" s="13">
        <f t="shared" si="1"/>
        <v>0.84134474606854304</v>
      </c>
      <c r="C12" s="13">
        <f t="shared" si="0"/>
        <v>0.84375235497874546</v>
      </c>
      <c r="D12" s="13">
        <f t="shared" si="0"/>
        <v>0.84613576962726511</v>
      </c>
      <c r="E12" s="13">
        <f t="shared" si="0"/>
        <v>0.84849499721165633</v>
      </c>
      <c r="F12" s="13">
        <f t="shared" si="0"/>
        <v>0.85083004966901865</v>
      </c>
      <c r="G12" s="13">
        <f t="shared" si="0"/>
        <v>0.85314094362410409</v>
      </c>
      <c r="H12" s="13">
        <f t="shared" si="0"/>
        <v>0.85542770033609039</v>
      </c>
      <c r="I12" s="13">
        <f t="shared" si="0"/>
        <v>0.85769034564406077</v>
      </c>
      <c r="J12" s="13">
        <f t="shared" si="0"/>
        <v>0.85992890991123094</v>
      </c>
      <c r="K12" s="13">
        <f t="shared" si="0"/>
        <v>0.8621434279679645</v>
      </c>
    </row>
    <row r="13" spans="1:11" x14ac:dyDescent="0.3">
      <c r="A13" s="12">
        <v>1.1000000000000001</v>
      </c>
      <c r="B13" s="13">
        <f t="shared" si="1"/>
        <v>0.86433393905361733</v>
      </c>
      <c r="C13" s="13">
        <f t="shared" si="0"/>
        <v>0.86650048675725277</v>
      </c>
      <c r="D13" s="13">
        <f t="shared" si="0"/>
        <v>0.86864311895726931</v>
      </c>
      <c r="E13" s="13">
        <f t="shared" si="0"/>
        <v>0.8707618877599822</v>
      </c>
      <c r="F13" s="13">
        <f t="shared" si="0"/>
        <v>0.87285684943720176</v>
      </c>
      <c r="G13" s="13">
        <f t="shared" si="0"/>
        <v>0.87492806436284987</v>
      </c>
      <c r="H13" s="13">
        <f t="shared" si="0"/>
        <v>0.87697559694865668</v>
      </c>
      <c r="I13" s="13">
        <f t="shared" si="0"/>
        <v>0.87899951557898182</v>
      </c>
      <c r="J13" s="13">
        <f t="shared" si="0"/>
        <v>0.88099989254479938</v>
      </c>
      <c r="K13" s="13">
        <f t="shared" si="0"/>
        <v>0.88297680397689127</v>
      </c>
    </row>
    <row r="14" spans="1:11" x14ac:dyDescent="0.3">
      <c r="A14" s="12">
        <v>1.2</v>
      </c>
      <c r="B14" s="13">
        <f t="shared" si="1"/>
        <v>0.88493032977829178</v>
      </c>
      <c r="C14" s="13">
        <f t="shared" si="0"/>
        <v>0.88686055355602278</v>
      </c>
      <c r="D14" s="13">
        <f t="shared" si="0"/>
        <v>0.88876756255216538</v>
      </c>
      <c r="E14" s="13">
        <f t="shared" si="0"/>
        <v>0.89065144757430814</v>
      </c>
      <c r="F14" s="13">
        <f t="shared" si="0"/>
        <v>0.89251230292541306</v>
      </c>
      <c r="G14" s="13">
        <f t="shared" si="0"/>
        <v>0.89435022633314476</v>
      </c>
      <c r="H14" s="13">
        <f t="shared" si="0"/>
        <v>0.89616531887869966</v>
      </c>
      <c r="I14" s="13">
        <f t="shared" si="0"/>
        <v>0.89795768492518091</v>
      </c>
      <c r="J14" s="13">
        <f t="shared" si="0"/>
        <v>0.89972743204555794</v>
      </c>
      <c r="K14" s="13">
        <f t="shared" si="0"/>
        <v>0.90147467095025213</v>
      </c>
    </row>
    <row r="15" spans="1:11" x14ac:dyDescent="0.3">
      <c r="A15" s="12">
        <v>1.3</v>
      </c>
      <c r="B15" s="13">
        <f t="shared" si="1"/>
        <v>0.9031995154143897</v>
      </c>
      <c r="C15" s="13">
        <f t="shared" si="0"/>
        <v>0.90490208220476098</v>
      </c>
      <c r="D15" s="13">
        <f t="shared" si="0"/>
        <v>0.90658249100652821</v>
      </c>
      <c r="E15" s="13">
        <f t="shared" si="0"/>
        <v>0.90824086434971918</v>
      </c>
      <c r="F15" s="13">
        <f t="shared" si="0"/>
        <v>0.90987732753554751</v>
      </c>
      <c r="G15" s="13">
        <f t="shared" si="0"/>
        <v>0.91149200856259804</v>
      </c>
      <c r="H15" s="13">
        <f t="shared" si="0"/>
        <v>0.91308503805291497</v>
      </c>
      <c r="I15" s="13">
        <f t="shared" si="0"/>
        <v>0.91465654917803307</v>
      </c>
      <c r="J15" s="13">
        <f t="shared" si="0"/>
        <v>0.91620667758498575</v>
      </c>
      <c r="K15" s="13">
        <f t="shared" si="0"/>
        <v>0.91773556132233114</v>
      </c>
    </row>
    <row r="16" spans="1:11" x14ac:dyDescent="0.3">
      <c r="A16" s="12">
        <v>1.4</v>
      </c>
      <c r="B16" s="13">
        <f t="shared" si="1"/>
        <v>0.91924334076622893</v>
      </c>
      <c r="C16" s="13">
        <f t="shared" si="0"/>
        <v>0.92073015854660756</v>
      </c>
      <c r="D16" s="13">
        <f t="shared" si="0"/>
        <v>0.92219615947345368</v>
      </c>
      <c r="E16" s="13">
        <f t="shared" si="0"/>
        <v>0.92364149046326083</v>
      </c>
      <c r="F16" s="13">
        <f t="shared" si="0"/>
        <v>0.92506630046567295</v>
      </c>
      <c r="G16" s="13">
        <f t="shared" si="0"/>
        <v>0.9264707403903516</v>
      </c>
      <c r="H16" s="13">
        <f t="shared" si="0"/>
        <v>0.92785496303410619</v>
      </c>
      <c r="I16" s="13">
        <f t="shared" si="0"/>
        <v>0.92921912300831444</v>
      </c>
      <c r="J16" s="13">
        <f t="shared" si="0"/>
        <v>0.93056337666666833</v>
      </c>
      <c r="K16" s="13">
        <f t="shared" si="0"/>
        <v>0.93188788203327455</v>
      </c>
    </row>
    <row r="17" spans="1:11" x14ac:dyDescent="0.3">
      <c r="A17" s="12">
        <v>1.5</v>
      </c>
      <c r="B17" s="13">
        <f t="shared" si="1"/>
        <v>0.93319279873114191</v>
      </c>
      <c r="C17" s="13">
        <f t="shared" si="0"/>
        <v>0.93447828791108356</v>
      </c>
      <c r="D17" s="13">
        <f t="shared" si="0"/>
        <v>0.93574451218106425</v>
      </c>
      <c r="E17" s="13">
        <f t="shared" si="0"/>
        <v>0.93699163553602161</v>
      </c>
      <c r="F17" s="13">
        <f t="shared" si="0"/>
        <v>0.93821982328818809</v>
      </c>
      <c r="G17" s="13">
        <f t="shared" si="0"/>
        <v>0.93942924199794098</v>
      </c>
      <c r="H17" s="13">
        <f t="shared" si="0"/>
        <v>0.94062005940520699</v>
      </c>
      <c r="I17" s="13">
        <f t="shared" si="0"/>
        <v>0.94179244436144693</v>
      </c>
      <c r="J17" s="13">
        <f t="shared" si="0"/>
        <v>0.94294656676224586</v>
      </c>
      <c r="K17" s="13">
        <f t="shared" si="0"/>
        <v>0.94408259748053058</v>
      </c>
    </row>
    <row r="18" spans="1:11" x14ac:dyDescent="0.3">
      <c r="A18" s="12">
        <v>1.6</v>
      </c>
      <c r="B18" s="13">
        <f t="shared" si="1"/>
        <v>0.94520070830044201</v>
      </c>
      <c r="C18" s="13">
        <f t="shared" si="1"/>
        <v>0.94630107185188028</v>
      </c>
      <c r="D18" s="13">
        <f t="shared" si="1"/>
        <v>0.94738386154574794</v>
      </c>
      <c r="E18" s="13">
        <f t="shared" si="1"/>
        <v>0.94844925150991066</v>
      </c>
      <c r="F18" s="13">
        <f t="shared" si="1"/>
        <v>0.94949741652589625</v>
      </c>
      <c r="G18" s="13">
        <f t="shared" si="1"/>
        <v>0.9505285319663519</v>
      </c>
      <c r="H18" s="13">
        <f t="shared" si="1"/>
        <v>0.95154277373327723</v>
      </c>
      <c r="I18" s="13">
        <f t="shared" si="1"/>
        <v>0.95254031819705265</v>
      </c>
      <c r="J18" s="13">
        <f t="shared" si="1"/>
        <v>0.95352134213628004</v>
      </c>
      <c r="K18" s="13">
        <f t="shared" si="1"/>
        <v>0.95448602267845017</v>
      </c>
    </row>
    <row r="19" spans="1:11" x14ac:dyDescent="0.3">
      <c r="A19" s="12">
        <v>1.7</v>
      </c>
      <c r="B19" s="13">
        <f t="shared" ref="B19:K42" si="2">_xlfn.NORM.S.DIST($A19+B$1,TRUE)</f>
        <v>0.95543453724145699</v>
      </c>
      <c r="C19" s="13">
        <f t="shared" si="2"/>
        <v>0.95636706347596812</v>
      </c>
      <c r="D19" s="13">
        <f t="shared" si="2"/>
        <v>0.95728377920867114</v>
      </c>
      <c r="E19" s="13">
        <f t="shared" si="2"/>
        <v>0.9581848623864051</v>
      </c>
      <c r="F19" s="13">
        <f t="shared" si="2"/>
        <v>0.95907049102119268</v>
      </c>
      <c r="G19" s="13">
        <f t="shared" si="2"/>
        <v>0.95994084313618289</v>
      </c>
      <c r="H19" s="13">
        <f t="shared" si="2"/>
        <v>0.96079609671251731</v>
      </c>
      <c r="I19" s="13">
        <f t="shared" si="2"/>
        <v>0.96163642963712881</v>
      </c>
      <c r="J19" s="13">
        <f t="shared" si="2"/>
        <v>0.96246201965148326</v>
      </c>
      <c r="K19" s="13">
        <f t="shared" si="2"/>
        <v>0.9632730443012737</v>
      </c>
    </row>
    <row r="20" spans="1:11" x14ac:dyDescent="0.3">
      <c r="A20" s="12">
        <v>1.8</v>
      </c>
      <c r="B20" s="13">
        <f t="shared" si="2"/>
        <v>0.96406968088707423</v>
      </c>
      <c r="C20" s="13">
        <f t="shared" si="2"/>
        <v>0.9648521064159612</v>
      </c>
      <c r="D20" s="13">
        <f t="shared" si="2"/>
        <v>0.96562049755411006</v>
      </c>
      <c r="E20" s="13">
        <f t="shared" si="2"/>
        <v>0.96637503058037166</v>
      </c>
      <c r="F20" s="13">
        <f t="shared" si="2"/>
        <v>0.96711588134083615</v>
      </c>
      <c r="G20" s="13">
        <f t="shared" si="2"/>
        <v>0.96784322520438626</v>
      </c>
      <c r="H20" s="13">
        <f t="shared" si="2"/>
        <v>0.96855723701924734</v>
      </c>
      <c r="I20" s="13">
        <f t="shared" si="2"/>
        <v>0.96925809107053407</v>
      </c>
      <c r="J20" s="13">
        <f t="shared" si="2"/>
        <v>0.96994596103880026</v>
      </c>
      <c r="K20" s="13">
        <f t="shared" si="2"/>
        <v>0.9706210199595906</v>
      </c>
    </row>
    <row r="21" spans="1:11" x14ac:dyDescent="0.3">
      <c r="A21" s="12">
        <v>1.9</v>
      </c>
      <c r="B21" s="13">
        <f t="shared" si="2"/>
        <v>0.97128344018399815</v>
      </c>
      <c r="C21" s="13">
        <f t="shared" si="2"/>
        <v>0.97193339334022744</v>
      </c>
      <c r="D21" s="13">
        <f t="shared" si="2"/>
        <v>0.9725710502961632</v>
      </c>
      <c r="E21" s="13">
        <f t="shared" si="2"/>
        <v>0.97319658112294505</v>
      </c>
      <c r="F21" s="13">
        <f t="shared" si="2"/>
        <v>0.97381015505954727</v>
      </c>
      <c r="G21" s="13">
        <f t="shared" si="2"/>
        <v>0.97441194047836144</v>
      </c>
      <c r="H21" s="13">
        <f t="shared" si="2"/>
        <v>0.97500210485177952</v>
      </c>
      <c r="I21" s="13">
        <f t="shared" si="2"/>
        <v>0.97558081471977742</v>
      </c>
      <c r="J21" s="13">
        <f t="shared" si="2"/>
        <v>0.97614823565849151</v>
      </c>
      <c r="K21" s="13">
        <f t="shared" si="2"/>
        <v>0.97670453224978815</v>
      </c>
    </row>
    <row r="22" spans="1:11" x14ac:dyDescent="0.3">
      <c r="A22" s="12">
        <v>2</v>
      </c>
      <c r="B22" s="13">
        <f t="shared" si="2"/>
        <v>0.97724986805182079</v>
      </c>
      <c r="C22" s="13">
        <f t="shared" si="2"/>
        <v>0.97778440557056856</v>
      </c>
      <c r="D22" s="13">
        <f t="shared" si="2"/>
        <v>0.97830830623235321</v>
      </c>
      <c r="E22" s="13">
        <f t="shared" si="2"/>
        <v>0.97882173035732778</v>
      </c>
      <c r="F22" s="13">
        <f t="shared" si="2"/>
        <v>0.97932483713392993</v>
      </c>
      <c r="G22" s="13">
        <f t="shared" si="2"/>
        <v>0.97981778459429558</v>
      </c>
      <c r="H22" s="13">
        <f t="shared" si="2"/>
        <v>0.98030072959062309</v>
      </c>
      <c r="I22" s="13">
        <f t="shared" si="2"/>
        <v>0.98077382777248268</v>
      </c>
      <c r="J22" s="13">
        <f t="shared" si="2"/>
        <v>0.98123723356506221</v>
      </c>
      <c r="K22" s="13">
        <f t="shared" si="2"/>
        <v>0.98169110014834104</v>
      </c>
    </row>
    <row r="23" spans="1:11" x14ac:dyDescent="0.3">
      <c r="A23" s="12">
        <v>2.1</v>
      </c>
      <c r="B23" s="13">
        <f t="shared" si="2"/>
        <v>0.98213557943718344</v>
      </c>
      <c r="C23" s="13">
        <f t="shared" si="2"/>
        <v>0.98257082206234292</v>
      </c>
      <c r="D23" s="13">
        <f t="shared" si="2"/>
        <v>0.98299697735236724</v>
      </c>
      <c r="E23" s="13">
        <f t="shared" si="2"/>
        <v>0.98341419331639501</v>
      </c>
      <c r="F23" s="13">
        <f t="shared" si="2"/>
        <v>0.98382261662783388</v>
      </c>
      <c r="G23" s="13">
        <f t="shared" si="2"/>
        <v>0.98422239260890954</v>
      </c>
      <c r="H23" s="13">
        <f t="shared" si="2"/>
        <v>0.98461366521607452</v>
      </c>
      <c r="I23" s="13">
        <f t="shared" si="2"/>
        <v>0.98499657702626775</v>
      </c>
      <c r="J23" s="13">
        <f t="shared" si="2"/>
        <v>0.98537126922401075</v>
      </c>
      <c r="K23" s="13">
        <f t="shared" si="2"/>
        <v>0.98573788158933118</v>
      </c>
    </row>
    <row r="24" spans="1:11" x14ac:dyDescent="0.3">
      <c r="A24" s="12">
        <v>2.2000000000000002</v>
      </c>
      <c r="B24" s="13">
        <f t="shared" si="2"/>
        <v>0.98609655248650141</v>
      </c>
      <c r="C24" s="13">
        <f t="shared" si="2"/>
        <v>0.98644741885358</v>
      </c>
      <c r="D24" s="13">
        <f t="shared" si="2"/>
        <v>0.98679061619274377</v>
      </c>
      <c r="E24" s="13">
        <f t="shared" si="2"/>
        <v>0.98712627856139801</v>
      </c>
      <c r="F24" s="13">
        <f t="shared" si="2"/>
        <v>0.98745453856405341</v>
      </c>
      <c r="G24" s="13">
        <f t="shared" si="2"/>
        <v>0.98777552734495533</v>
      </c>
      <c r="H24" s="13">
        <f t="shared" si="2"/>
        <v>0.98808937458145296</v>
      </c>
      <c r="I24" s="13">
        <f t="shared" si="2"/>
        <v>0.98839620847809651</v>
      </c>
      <c r="J24" s="13">
        <f t="shared" si="2"/>
        <v>0.9886961557614472</v>
      </c>
      <c r="K24" s="13">
        <f t="shared" si="2"/>
        <v>0.98898934167558861</v>
      </c>
    </row>
    <row r="25" spans="1:11" x14ac:dyDescent="0.3">
      <c r="A25" s="12">
        <v>2.2999999999999998</v>
      </c>
      <c r="B25" s="13">
        <f t="shared" si="2"/>
        <v>0.98927588997832416</v>
      </c>
      <c r="C25" s="13">
        <f t="shared" si="2"/>
        <v>0.98955592293804895</v>
      </c>
      <c r="D25" s="13">
        <f t="shared" si="2"/>
        <v>0.98982956133128031</v>
      </c>
      <c r="E25" s="13">
        <f t="shared" si="2"/>
        <v>0.99009692444083575</v>
      </c>
      <c r="F25" s="13">
        <f t="shared" si="2"/>
        <v>0.99035813005464168</v>
      </c>
      <c r="G25" s="13">
        <f t="shared" si="2"/>
        <v>0.99061329446516144</v>
      </c>
      <c r="H25" s="13">
        <f t="shared" si="2"/>
        <v>0.99086253246942735</v>
      </c>
      <c r="I25" s="13">
        <f t="shared" si="2"/>
        <v>0.99110595736966323</v>
      </c>
      <c r="J25" s="13">
        <f t="shared" si="2"/>
        <v>0.99134368097448344</v>
      </c>
      <c r="K25" s="13">
        <f t="shared" si="2"/>
        <v>0.99157581360065428</v>
      </c>
    </row>
    <row r="26" spans="1:11" x14ac:dyDescent="0.3">
      <c r="A26" s="12">
        <v>2.4</v>
      </c>
      <c r="B26" s="13">
        <f t="shared" si="2"/>
        <v>0.99180246407540384</v>
      </c>
      <c r="C26" s="13">
        <f t="shared" si="2"/>
        <v>0.99202373973926627</v>
      </c>
      <c r="D26" s="13">
        <f t="shared" si="2"/>
        <v>0.99223974644944635</v>
      </c>
      <c r="E26" s="13">
        <f t="shared" si="2"/>
        <v>0.99245058858369084</v>
      </c>
      <c r="F26" s="13">
        <f t="shared" si="2"/>
        <v>0.99265636904465171</v>
      </c>
      <c r="G26" s="13">
        <f t="shared" si="2"/>
        <v>0.99285718926472855</v>
      </c>
      <c r="H26" s="13">
        <f t="shared" si="2"/>
        <v>0.99305314921137566</v>
      </c>
      <c r="I26" s="13">
        <f t="shared" si="2"/>
        <v>0.99324434739285938</v>
      </c>
      <c r="J26" s="13">
        <f t="shared" si="2"/>
        <v>0.99343088086445319</v>
      </c>
      <c r="K26" s="13">
        <f t="shared" si="2"/>
        <v>0.99361284523505677</v>
      </c>
    </row>
    <row r="27" spans="1:11" x14ac:dyDescent="0.3">
      <c r="A27" s="12">
        <v>2.5</v>
      </c>
      <c r="B27" s="13">
        <f t="shared" si="2"/>
        <v>0.99379033467422384</v>
      </c>
      <c r="C27" s="13">
        <f t="shared" si="2"/>
        <v>0.9939634419195873</v>
      </c>
      <c r="D27" s="13">
        <f t="shared" si="2"/>
        <v>0.99413225828466745</v>
      </c>
      <c r="E27" s="13">
        <f t="shared" si="2"/>
        <v>0.99429687366704933</v>
      </c>
      <c r="F27" s="13">
        <f t="shared" si="2"/>
        <v>0.99445737655691735</v>
      </c>
      <c r="G27" s="13">
        <f t="shared" si="2"/>
        <v>0.99461385404593328</v>
      </c>
      <c r="H27" s="13">
        <f t="shared" si="2"/>
        <v>0.99476639183644422</v>
      </c>
      <c r="I27" s="13">
        <f t="shared" si="2"/>
        <v>0.994915074251009</v>
      </c>
      <c r="J27" s="13">
        <f t="shared" si="2"/>
        <v>0.99505998424222941</v>
      </c>
      <c r="K27" s="13">
        <f t="shared" si="2"/>
        <v>0.99520120340287377</v>
      </c>
    </row>
    <row r="28" spans="1:11" x14ac:dyDescent="0.3">
      <c r="A28" s="12">
        <v>2.6</v>
      </c>
      <c r="B28" s="13">
        <f t="shared" si="2"/>
        <v>0.99533881197628127</v>
      </c>
      <c r="C28" s="13">
        <f t="shared" si="2"/>
        <v>0.99547288886703267</v>
      </c>
      <c r="D28" s="13">
        <f t="shared" si="2"/>
        <v>0.99560351165187866</v>
      </c>
      <c r="E28" s="13">
        <f t="shared" si="2"/>
        <v>0.9957307565909107</v>
      </c>
      <c r="F28" s="13">
        <f t="shared" si="2"/>
        <v>0.99585469863896392</v>
      </c>
      <c r="G28" s="13">
        <f t="shared" si="2"/>
        <v>0.99597541145724167</v>
      </c>
      <c r="H28" s="13">
        <f t="shared" si="2"/>
        <v>0.99609296742514719</v>
      </c>
      <c r="I28" s="13">
        <f t="shared" si="2"/>
        <v>0.99620743765231456</v>
      </c>
      <c r="J28" s="13">
        <f t="shared" si="2"/>
        <v>0.99631889199082502</v>
      </c>
      <c r="K28" s="13">
        <f t="shared" si="2"/>
        <v>0.99642739904760025</v>
      </c>
    </row>
    <row r="29" spans="1:11" x14ac:dyDescent="0.3">
      <c r="A29" s="12">
        <v>2.7</v>
      </c>
      <c r="B29" s="13">
        <f t="shared" si="2"/>
        <v>0.99653302619695938</v>
      </c>
      <c r="C29" s="13">
        <f t="shared" si="2"/>
        <v>0.9966358395933308</v>
      </c>
      <c r="D29" s="13">
        <f t="shared" si="2"/>
        <v>0.99673590418410873</v>
      </c>
      <c r="E29" s="13">
        <f t="shared" si="2"/>
        <v>0.99683328372264224</v>
      </c>
      <c r="F29" s="13">
        <f t="shared" si="2"/>
        <v>0.99692804078134956</v>
      </c>
      <c r="G29" s="13">
        <f t="shared" si="2"/>
        <v>0.99702023676494544</v>
      </c>
      <c r="H29" s="13">
        <f t="shared" si="2"/>
        <v>0.99710993192377384</v>
      </c>
      <c r="I29" s="13">
        <f t="shared" si="2"/>
        <v>0.99719718536723501</v>
      </c>
      <c r="J29" s="13">
        <f t="shared" si="2"/>
        <v>0.99728205507729872</v>
      </c>
      <c r="K29" s="13">
        <f t="shared" si="2"/>
        <v>0.99736459792209509</v>
      </c>
    </row>
    <row r="30" spans="1:11" x14ac:dyDescent="0.3">
      <c r="A30" s="12">
        <v>2.8</v>
      </c>
      <c r="B30" s="13">
        <f t="shared" si="2"/>
        <v>0.99744486966957202</v>
      </c>
      <c r="C30" s="13">
        <f t="shared" si="2"/>
        <v>0.99752292500121409</v>
      </c>
      <c r="D30" s="13">
        <f t="shared" si="2"/>
        <v>0.9975988175258107</v>
      </c>
      <c r="E30" s="13">
        <f t="shared" si="2"/>
        <v>0.9976725997932685</v>
      </c>
      <c r="F30" s="13">
        <f t="shared" si="2"/>
        <v>0.99774432330845764</v>
      </c>
      <c r="G30" s="13">
        <f t="shared" si="2"/>
        <v>0.99781403854508677</v>
      </c>
      <c r="H30" s="13">
        <f t="shared" si="2"/>
        <v>0.99788179495959539</v>
      </c>
      <c r="I30" s="13">
        <f t="shared" si="2"/>
        <v>0.99794764100506028</v>
      </c>
      <c r="J30" s="13">
        <f t="shared" si="2"/>
        <v>0.99801162414510569</v>
      </c>
      <c r="K30" s="13">
        <f t="shared" si="2"/>
        <v>0.99807379086781212</v>
      </c>
    </row>
    <row r="31" spans="1:11" x14ac:dyDescent="0.3">
      <c r="A31" s="12">
        <v>2.9</v>
      </c>
      <c r="B31" s="13">
        <f t="shared" si="2"/>
        <v>0.99813418669961596</v>
      </c>
      <c r="C31" s="13">
        <f t="shared" si="2"/>
        <v>0.99819285621919351</v>
      </c>
      <c r="D31" s="13">
        <f t="shared" si="2"/>
        <v>0.99824984307132392</v>
      </c>
      <c r="E31" s="13">
        <f t="shared" si="2"/>
        <v>0.99830518998072271</v>
      </c>
      <c r="F31" s="13">
        <f t="shared" si="2"/>
        <v>0.99835893876584303</v>
      </c>
      <c r="G31" s="13">
        <f t="shared" si="2"/>
        <v>0.99841113035263518</v>
      </c>
      <c r="H31" s="13">
        <f t="shared" si="2"/>
        <v>0.99846180478826196</v>
      </c>
      <c r="I31" s="13">
        <f t="shared" si="2"/>
        <v>0.99851100125476255</v>
      </c>
      <c r="J31" s="13">
        <f t="shared" si="2"/>
        <v>0.99855875808266004</v>
      </c>
      <c r="K31" s="13">
        <f t="shared" si="2"/>
        <v>0.9986051127645077</v>
      </c>
    </row>
    <row r="32" spans="1:11" x14ac:dyDescent="0.3">
      <c r="A32" s="12">
        <v>3</v>
      </c>
      <c r="B32" s="13">
        <f t="shared" si="2"/>
        <v>0.9986501019683699</v>
      </c>
      <c r="C32" s="13">
        <f t="shared" si="2"/>
        <v>0.99869376155123057</v>
      </c>
      <c r="D32" s="13">
        <f t="shared" si="2"/>
        <v>0.99873612657232769</v>
      </c>
      <c r="E32" s="13">
        <f t="shared" si="2"/>
        <v>0.99877723130640772</v>
      </c>
      <c r="F32" s="13">
        <f t="shared" si="2"/>
        <v>0.9988171092568956</v>
      </c>
      <c r="G32" s="13">
        <f t="shared" si="2"/>
        <v>0.99885579316897732</v>
      </c>
      <c r="H32" s="13">
        <f t="shared" si="2"/>
        <v>0.99889331504259071</v>
      </c>
      <c r="I32" s="13">
        <f t="shared" si="2"/>
        <v>0.99892970614532106</v>
      </c>
      <c r="J32" s="13">
        <f t="shared" si="2"/>
        <v>0.99896499702519714</v>
      </c>
      <c r="K32" s="13">
        <f t="shared" si="2"/>
        <v>0.99899921752338594</v>
      </c>
    </row>
    <row r="33" spans="1:11" x14ac:dyDescent="0.3">
      <c r="A33" s="12">
        <v>3.1</v>
      </c>
      <c r="B33" s="13">
        <f t="shared" si="2"/>
        <v>0.99903239678678168</v>
      </c>
      <c r="C33" s="13">
        <f t="shared" si="2"/>
        <v>0.99906456328048587</v>
      </c>
      <c r="D33" s="13">
        <f t="shared" si="2"/>
        <v>0.99909574480017771</v>
      </c>
      <c r="E33" s="13">
        <f t="shared" si="2"/>
        <v>0.99912596848436841</v>
      </c>
      <c r="F33" s="13">
        <f t="shared" si="2"/>
        <v>0.99915526082654138</v>
      </c>
      <c r="G33" s="13">
        <f t="shared" si="2"/>
        <v>0.99918364768717138</v>
      </c>
      <c r="H33" s="13">
        <f t="shared" si="2"/>
        <v>0.99921115430562446</v>
      </c>
      <c r="I33" s="13">
        <f t="shared" si="2"/>
        <v>0.99923780531193274</v>
      </c>
      <c r="J33" s="13">
        <f t="shared" si="2"/>
        <v>0.9992636247384461</v>
      </c>
      <c r="K33" s="13">
        <f t="shared" si="2"/>
        <v>0.99928863603135465</v>
      </c>
    </row>
    <row r="34" spans="1:11" x14ac:dyDescent="0.3">
      <c r="A34" s="12">
        <v>3.2</v>
      </c>
      <c r="B34" s="13">
        <f t="shared" si="2"/>
        <v>0.99931286206208414</v>
      </c>
      <c r="C34" s="13">
        <f t="shared" si="2"/>
        <v>0.99933632513856008</v>
      </c>
      <c r="D34" s="13">
        <f t="shared" si="2"/>
        <v>0.99935904701633993</v>
      </c>
      <c r="E34" s="13">
        <f t="shared" si="2"/>
        <v>0.99938104890961321</v>
      </c>
      <c r="F34" s="13">
        <f t="shared" si="2"/>
        <v>0.99940235150206558</v>
      </c>
      <c r="G34" s="13">
        <f t="shared" si="2"/>
        <v>0.99942297495760923</v>
      </c>
      <c r="H34" s="13">
        <f t="shared" si="2"/>
        <v>0.99944293893097536</v>
      </c>
      <c r="I34" s="13">
        <f t="shared" si="2"/>
        <v>0.99946226257817028</v>
      </c>
      <c r="J34" s="13">
        <f t="shared" si="2"/>
        <v>0.99948096456679303</v>
      </c>
      <c r="K34" s="13">
        <f t="shared" si="2"/>
        <v>0.99949906308621428</v>
      </c>
    </row>
    <row r="35" spans="1:11" x14ac:dyDescent="0.3">
      <c r="A35" s="12">
        <v>3.3</v>
      </c>
      <c r="B35" s="13">
        <f t="shared" si="2"/>
        <v>0.99951657585761622</v>
      </c>
      <c r="C35" s="13">
        <f t="shared" si="2"/>
        <v>0.99953352014389241</v>
      </c>
      <c r="D35" s="13">
        <f t="shared" si="2"/>
        <v>0.99954991275940785</v>
      </c>
      <c r="E35" s="13">
        <f t="shared" si="2"/>
        <v>0.99956577007961833</v>
      </c>
      <c r="F35" s="13">
        <f t="shared" si="2"/>
        <v>0.99958110805054967</v>
      </c>
      <c r="G35" s="13">
        <f t="shared" si="2"/>
        <v>0.99959594219813597</v>
      </c>
      <c r="H35" s="13">
        <f t="shared" si="2"/>
        <v>0.99961028763741799</v>
      </c>
      <c r="I35" s="13">
        <f t="shared" si="2"/>
        <v>0.99962415908159996</v>
      </c>
      <c r="J35" s="13">
        <f t="shared" si="2"/>
        <v>0.99963757085096694</v>
      </c>
      <c r="K35" s="13">
        <f t="shared" si="2"/>
        <v>0.99965053688166206</v>
      </c>
    </row>
    <row r="36" spans="1:11" x14ac:dyDescent="0.3">
      <c r="A36" s="12">
        <v>3.4</v>
      </c>
      <c r="B36" s="13">
        <f t="shared" si="2"/>
        <v>0.99966307073432314</v>
      </c>
      <c r="C36" s="13">
        <f t="shared" si="2"/>
        <v>0.99967518560258117</v>
      </c>
      <c r="D36" s="13">
        <f t="shared" si="2"/>
        <v>0.99968689432141877</v>
      </c>
      <c r="E36" s="13">
        <f t="shared" si="2"/>
        <v>0.99969820937539133</v>
      </c>
      <c r="F36" s="13">
        <f t="shared" si="2"/>
        <v>0.9997091429067092</v>
      </c>
      <c r="G36" s="13">
        <f t="shared" si="2"/>
        <v>0.99971970672318378</v>
      </c>
      <c r="H36" s="13">
        <f t="shared" si="2"/>
        <v>0.99972991230603647</v>
      </c>
      <c r="I36" s="13">
        <f t="shared" si="2"/>
        <v>0.99973977081757248</v>
      </c>
      <c r="J36" s="13">
        <f t="shared" si="2"/>
        <v>0.99974929310871952</v>
      </c>
      <c r="K36" s="13">
        <f t="shared" si="2"/>
        <v>0.99975848972643211</v>
      </c>
    </row>
    <row r="37" spans="1:11" x14ac:dyDescent="0.3">
      <c r="A37" s="12">
        <v>3.5</v>
      </c>
      <c r="B37" s="13">
        <f t="shared" si="2"/>
        <v>0.99976737092096446</v>
      </c>
      <c r="C37" s="13">
        <f t="shared" si="2"/>
        <v>0.99977594665300895</v>
      </c>
      <c r="D37" s="13">
        <f t="shared" si="2"/>
        <v>0.99978422660070532</v>
      </c>
      <c r="E37" s="13">
        <f t="shared" si="2"/>
        <v>0.99979222016651936</v>
      </c>
      <c r="F37" s="13">
        <f t="shared" si="2"/>
        <v>0.99979993648399268</v>
      </c>
      <c r="G37" s="13">
        <f t="shared" si="2"/>
        <v>0.99980738442436434</v>
      </c>
      <c r="H37" s="13">
        <f t="shared" si="2"/>
        <v>0.99981457260306672</v>
      </c>
      <c r="I37" s="13">
        <f t="shared" si="2"/>
        <v>0.99982150938609515</v>
      </c>
      <c r="J37" s="13">
        <f t="shared" si="2"/>
        <v>0.99982820289625407</v>
      </c>
      <c r="K37" s="13">
        <f t="shared" si="2"/>
        <v>0.99983466101927987</v>
      </c>
    </row>
    <row r="38" spans="1:11" x14ac:dyDescent="0.3">
      <c r="A38" s="12">
        <v>3.6</v>
      </c>
      <c r="B38" s="13">
        <f t="shared" si="2"/>
        <v>0.99984089140984245</v>
      </c>
      <c r="C38" s="13">
        <f t="shared" si="2"/>
        <v>0.99984690149742628</v>
      </c>
      <c r="D38" s="13">
        <f t="shared" si="2"/>
        <v>0.99985269849209257</v>
      </c>
      <c r="E38" s="13">
        <f t="shared" si="2"/>
        <v>0.99985828939012422</v>
      </c>
      <c r="F38" s="13">
        <f t="shared" si="2"/>
        <v>0.99986368097955425</v>
      </c>
      <c r="G38" s="13">
        <f t="shared" si="2"/>
        <v>0.99986887984557948</v>
      </c>
      <c r="H38" s="13">
        <f t="shared" si="2"/>
        <v>0.99987389237586155</v>
      </c>
      <c r="I38" s="13">
        <f t="shared" si="2"/>
        <v>0.9998787247657146</v>
      </c>
      <c r="J38" s="13">
        <f t="shared" si="2"/>
        <v>0.99988338302318458</v>
      </c>
      <c r="K38" s="13">
        <f t="shared" si="2"/>
        <v>0.99988787297401771</v>
      </c>
    </row>
    <row r="39" spans="1:11" x14ac:dyDescent="0.3">
      <c r="A39" s="12">
        <v>3.7</v>
      </c>
      <c r="B39" s="13">
        <f t="shared" si="2"/>
        <v>0.99989220026652259</v>
      </c>
      <c r="C39" s="13">
        <f t="shared" si="2"/>
        <v>0.99989637037632595</v>
      </c>
      <c r="D39" s="13">
        <f t="shared" si="2"/>
        <v>0.99990038861102404</v>
      </c>
      <c r="E39" s="13">
        <f t="shared" si="2"/>
        <v>0.9999042601147311</v>
      </c>
      <c r="F39" s="13">
        <f t="shared" si="2"/>
        <v>0.99990798987252594</v>
      </c>
      <c r="G39" s="13">
        <f t="shared" si="2"/>
        <v>0.99991158271479919</v>
      </c>
      <c r="H39" s="13">
        <f t="shared" si="2"/>
        <v>0.99991504332150205</v>
      </c>
      <c r="I39" s="13">
        <f t="shared" si="2"/>
        <v>0.99991837622629731</v>
      </c>
      <c r="J39" s="13">
        <f t="shared" si="2"/>
        <v>0.99992158582061641</v>
      </c>
      <c r="K39" s="13">
        <f t="shared" si="2"/>
        <v>0.99992467635762128</v>
      </c>
    </row>
    <row r="40" spans="1:11" x14ac:dyDescent="0.3">
      <c r="A40" s="12">
        <v>3.8</v>
      </c>
      <c r="B40" s="13">
        <f t="shared" si="2"/>
        <v>0.99992765195607491</v>
      </c>
      <c r="C40" s="13">
        <f t="shared" si="2"/>
        <v>0.99993051660412013</v>
      </c>
      <c r="D40" s="13">
        <f t="shared" si="2"/>
        <v>0.99993327416297029</v>
      </c>
      <c r="E40" s="13">
        <f t="shared" si="2"/>
        <v>0.99993592837051115</v>
      </c>
      <c r="F40" s="13">
        <f t="shared" si="2"/>
        <v>0.99993848284481679</v>
      </c>
      <c r="G40" s="13">
        <f t="shared" si="2"/>
        <v>0.99994094108758103</v>
      </c>
      <c r="H40" s="13">
        <f t="shared" si="2"/>
        <v>0.99994330648746577</v>
      </c>
      <c r="I40" s="13">
        <f t="shared" si="2"/>
        <v>0.99994558232336628</v>
      </c>
      <c r="J40" s="13">
        <f t="shared" si="2"/>
        <v>0.99994777176759819</v>
      </c>
      <c r="K40" s="13">
        <f t="shared" si="2"/>
        <v>0.9999498778890038</v>
      </c>
    </row>
    <row r="41" spans="1:11" x14ac:dyDescent="0.3">
      <c r="A41" s="12">
        <v>3.9</v>
      </c>
      <c r="B41" s="13">
        <f t="shared" si="2"/>
        <v>0.99995190365598241</v>
      </c>
      <c r="C41" s="13">
        <f t="shared" si="2"/>
        <v>0.99995385193944375</v>
      </c>
      <c r="D41" s="13">
        <f t="shared" si="2"/>
        <v>0.9999557255156879</v>
      </c>
      <c r="E41" s="13">
        <f t="shared" si="2"/>
        <v>0.99995752706921126</v>
      </c>
      <c r="F41" s="13">
        <f t="shared" si="2"/>
        <v>0.99995925919544149</v>
      </c>
      <c r="G41" s="13">
        <f t="shared" si="2"/>
        <v>0.99996092440340223</v>
      </c>
      <c r="H41" s="13">
        <f t="shared" si="2"/>
        <v>0.99996252511830896</v>
      </c>
      <c r="I41" s="13">
        <f t="shared" si="2"/>
        <v>0.99996406368409718</v>
      </c>
      <c r="J41" s="13">
        <f t="shared" si="2"/>
        <v>0.99996554236588497</v>
      </c>
      <c r="K41" s="13">
        <f t="shared" si="2"/>
        <v>0.99996696335237056</v>
      </c>
    </row>
    <row r="42" spans="1:11" x14ac:dyDescent="0.3">
      <c r="A42" s="12">
        <v>4</v>
      </c>
      <c r="B42" s="13">
        <f t="shared" si="2"/>
        <v>0.99996832875816688</v>
      </c>
      <c r="C42" s="13">
        <f t="shared" si="2"/>
        <v>0.99996964062607341</v>
      </c>
      <c r="D42" s="13">
        <f t="shared" si="2"/>
        <v>0.99997090092928809</v>
      </c>
      <c r="E42" s="13">
        <f t="shared" si="2"/>
        <v>0.99997211157355947</v>
      </c>
      <c r="F42" s="13">
        <f t="shared" si="2"/>
        <v>0.99997327439928052</v>
      </c>
      <c r="G42" s="13">
        <f t="shared" si="2"/>
        <v>0.99997439118352593</v>
      </c>
      <c r="H42" s="13">
        <f t="shared" si="2"/>
        <v>0.9999754636420336</v>
      </c>
      <c r="I42" s="13">
        <f t="shared" si="2"/>
        <v>0.99997649343113137</v>
      </c>
      <c r="J42" s="13">
        <f t="shared" si="2"/>
        <v>0.99997748214961146</v>
      </c>
      <c r="K42" s="13">
        <f t="shared" si="2"/>
        <v>0.99997843134055187</v>
      </c>
    </row>
  </sheetData>
  <phoneticPr fontId="1" type="noConversion"/>
  <pageMargins left="0.25" right="0.25" top="0.75" bottom="0.75" header="0.3" footer="0.3"/>
  <pageSetup paperSize="9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C971-59D3-4C43-BBDB-97D90EA58629}">
  <dimension ref="A1:H46"/>
  <sheetViews>
    <sheetView workbookViewId="0">
      <selection activeCell="E13" sqref="E13"/>
    </sheetView>
  </sheetViews>
  <sheetFormatPr defaultRowHeight="14" x14ac:dyDescent="0.3"/>
  <cols>
    <col min="2" max="6" width="8.75" bestFit="1" customWidth="1"/>
    <col min="7" max="8" width="9.08203125" bestFit="1" customWidth="1"/>
  </cols>
  <sheetData>
    <row r="1" spans="1:8" x14ac:dyDescent="0.3">
      <c r="A1" s="3" t="s">
        <v>1</v>
      </c>
      <c r="B1" s="7">
        <v>0.1</v>
      </c>
      <c r="C1" s="7">
        <v>0.05</v>
      </c>
      <c r="D1" s="7">
        <v>2.5000000000000001E-2</v>
      </c>
      <c r="E1" s="7">
        <v>0.01</v>
      </c>
      <c r="F1" s="7">
        <v>5.0000000000000001E-3</v>
      </c>
      <c r="G1" s="7">
        <v>1E-3</v>
      </c>
      <c r="H1" s="7">
        <v>5.0000000000000001E-4</v>
      </c>
    </row>
    <row r="2" spans="1:8" x14ac:dyDescent="0.3">
      <c r="A2" s="3">
        <v>1</v>
      </c>
      <c r="B2" s="2">
        <f>-_xlfn.T.INV(B$1,$A2)</f>
        <v>3.077683537175254</v>
      </c>
      <c r="C2" s="2">
        <f t="shared" ref="C2:H17" si="0">-_xlfn.T.INV(C$1,$A2)</f>
        <v>6.3137515146750438</v>
      </c>
      <c r="D2" s="2">
        <f t="shared" si="0"/>
        <v>12.706204736174707</v>
      </c>
      <c r="E2" s="2">
        <f t="shared" si="0"/>
        <v>31.820515953773956</v>
      </c>
      <c r="F2" s="2">
        <f t="shared" si="0"/>
        <v>63.656741162871583</v>
      </c>
      <c r="G2" s="2">
        <f t="shared" si="0"/>
        <v>318.30883898555044</v>
      </c>
      <c r="H2" s="2">
        <f t="shared" si="0"/>
        <v>636.61924876871956</v>
      </c>
    </row>
    <row r="3" spans="1:8" x14ac:dyDescent="0.3">
      <c r="A3" s="3">
        <v>2</v>
      </c>
      <c r="B3" s="2">
        <f t="shared" ref="B3:H19" si="1">-_xlfn.T.INV(B$1,$A3)</f>
        <v>1.8856180831641267</v>
      </c>
      <c r="C3" s="2">
        <f t="shared" si="0"/>
        <v>2.9199855803537269</v>
      </c>
      <c r="D3" s="2">
        <f t="shared" si="0"/>
        <v>4.3026527297494637</v>
      </c>
      <c r="E3" s="2">
        <f t="shared" si="0"/>
        <v>6.9645567342832733</v>
      </c>
      <c r="F3" s="2">
        <f t="shared" si="0"/>
        <v>9.9248432009182928</v>
      </c>
      <c r="G3" s="2">
        <f t="shared" si="0"/>
        <v>22.327124770119873</v>
      </c>
      <c r="H3" s="2">
        <f t="shared" si="0"/>
        <v>31.599054576443621</v>
      </c>
    </row>
    <row r="4" spans="1:8" x14ac:dyDescent="0.3">
      <c r="A4" s="3">
        <v>3</v>
      </c>
      <c r="B4" s="2">
        <f t="shared" si="1"/>
        <v>1.63774435369621</v>
      </c>
      <c r="C4" s="2">
        <f t="shared" si="0"/>
        <v>2.3533634348018233</v>
      </c>
      <c r="D4" s="2">
        <f t="shared" si="0"/>
        <v>3.1824463052837091</v>
      </c>
      <c r="E4" s="2">
        <f t="shared" si="0"/>
        <v>4.5407028585681335</v>
      </c>
      <c r="F4" s="2">
        <f t="shared" si="0"/>
        <v>5.8409093097333571</v>
      </c>
      <c r="G4" s="2">
        <f t="shared" si="0"/>
        <v>10.214531852407385</v>
      </c>
      <c r="H4" s="2">
        <f t="shared" si="0"/>
        <v>12.923978636687485</v>
      </c>
    </row>
    <row r="5" spans="1:8" x14ac:dyDescent="0.3">
      <c r="A5" s="3">
        <v>4</v>
      </c>
      <c r="B5" s="2">
        <f t="shared" si="1"/>
        <v>1.5332062740589443</v>
      </c>
      <c r="C5" s="2">
        <f t="shared" si="0"/>
        <v>2.1318467863266499</v>
      </c>
      <c r="D5" s="2">
        <f t="shared" si="0"/>
        <v>2.7764451051977934</v>
      </c>
      <c r="E5" s="2">
        <f t="shared" si="0"/>
        <v>3.7469473879791968</v>
      </c>
      <c r="F5" s="2">
        <f t="shared" si="0"/>
        <v>4.604094871349993</v>
      </c>
      <c r="G5" s="2">
        <f t="shared" si="0"/>
        <v>7.1731822197823085</v>
      </c>
      <c r="H5" s="2">
        <f t="shared" si="0"/>
        <v>8.6103015813792751</v>
      </c>
    </row>
    <row r="6" spans="1:8" x14ac:dyDescent="0.3">
      <c r="A6" s="3">
        <v>5</v>
      </c>
      <c r="B6" s="2">
        <f t="shared" si="1"/>
        <v>1.4758840488244813</v>
      </c>
      <c r="C6" s="2">
        <f t="shared" si="0"/>
        <v>2.0150483733330233</v>
      </c>
      <c r="D6" s="2">
        <f t="shared" si="0"/>
        <v>2.570581835636315</v>
      </c>
      <c r="E6" s="2">
        <f t="shared" si="0"/>
        <v>3.3649299989072183</v>
      </c>
      <c r="F6" s="2">
        <f t="shared" si="0"/>
        <v>4.0321429835552278</v>
      </c>
      <c r="G6" s="2">
        <f t="shared" si="0"/>
        <v>5.893429531356011</v>
      </c>
      <c r="H6" s="2">
        <f t="shared" si="0"/>
        <v>6.8688266258811099</v>
      </c>
    </row>
    <row r="7" spans="1:8" x14ac:dyDescent="0.3">
      <c r="A7" s="3">
        <v>6</v>
      </c>
      <c r="B7" s="2">
        <f t="shared" si="1"/>
        <v>1.4397557472651481</v>
      </c>
      <c r="C7" s="2">
        <f t="shared" si="0"/>
        <v>1.9431802805153031</v>
      </c>
      <c r="D7" s="2">
        <f t="shared" si="0"/>
        <v>2.4469118511449697</v>
      </c>
      <c r="E7" s="2">
        <f t="shared" si="0"/>
        <v>3.1426684032909828</v>
      </c>
      <c r="F7" s="2">
        <f t="shared" si="0"/>
        <v>3.7074280213247794</v>
      </c>
      <c r="G7" s="2">
        <f t="shared" si="0"/>
        <v>5.2076262387253633</v>
      </c>
      <c r="H7" s="2">
        <f t="shared" si="0"/>
        <v>5.9588161788187586</v>
      </c>
    </row>
    <row r="8" spans="1:8" x14ac:dyDescent="0.3">
      <c r="A8" s="3">
        <v>7</v>
      </c>
      <c r="B8" s="2">
        <f t="shared" si="1"/>
        <v>1.4149239276505079</v>
      </c>
      <c r="C8" s="2">
        <f t="shared" si="0"/>
        <v>1.8945786050900073</v>
      </c>
      <c r="D8" s="2">
        <f t="shared" si="0"/>
        <v>2.3646242515927849</v>
      </c>
      <c r="E8" s="2">
        <f t="shared" si="0"/>
        <v>2.997951566868529</v>
      </c>
      <c r="F8" s="2">
        <f t="shared" si="0"/>
        <v>3.4994832973504946</v>
      </c>
      <c r="G8" s="2">
        <f t="shared" si="0"/>
        <v>4.785289628638334</v>
      </c>
      <c r="H8" s="2">
        <f t="shared" si="0"/>
        <v>5.4078825208617252</v>
      </c>
    </row>
    <row r="9" spans="1:8" x14ac:dyDescent="0.3">
      <c r="A9" s="3">
        <v>8</v>
      </c>
      <c r="B9" s="2">
        <f t="shared" si="1"/>
        <v>1.3968153097438645</v>
      </c>
      <c r="C9" s="2">
        <f t="shared" si="0"/>
        <v>1.8595480375308981</v>
      </c>
      <c r="D9" s="2">
        <f t="shared" si="0"/>
        <v>2.3060041352041671</v>
      </c>
      <c r="E9" s="2">
        <f t="shared" si="0"/>
        <v>2.8964594477096224</v>
      </c>
      <c r="F9" s="2">
        <f t="shared" si="0"/>
        <v>3.3553873313333953</v>
      </c>
      <c r="G9" s="2">
        <f t="shared" si="0"/>
        <v>4.5007909337237244</v>
      </c>
      <c r="H9" s="2">
        <f t="shared" si="0"/>
        <v>5.0413054333733669</v>
      </c>
    </row>
    <row r="10" spans="1:8" x14ac:dyDescent="0.3">
      <c r="A10" s="3">
        <v>9</v>
      </c>
      <c r="B10" s="2">
        <f t="shared" si="1"/>
        <v>1.383028738396632</v>
      </c>
      <c r="C10" s="2">
        <f t="shared" si="0"/>
        <v>1.8331129326562374</v>
      </c>
      <c r="D10" s="2">
        <f t="shared" si="0"/>
        <v>2.2621571627982053</v>
      </c>
      <c r="E10" s="2">
        <f t="shared" si="0"/>
        <v>2.8214379250258084</v>
      </c>
      <c r="F10" s="2">
        <f t="shared" si="0"/>
        <v>3.2498355415921263</v>
      </c>
      <c r="G10" s="2">
        <f t="shared" si="0"/>
        <v>4.2968056627299189</v>
      </c>
      <c r="H10" s="2">
        <f t="shared" si="0"/>
        <v>4.7809125859311381</v>
      </c>
    </row>
    <row r="11" spans="1:8" x14ac:dyDescent="0.3">
      <c r="A11" s="3">
        <v>10</v>
      </c>
      <c r="B11" s="2">
        <f t="shared" si="1"/>
        <v>1.3721836411103363</v>
      </c>
      <c r="C11" s="2">
        <f t="shared" si="0"/>
        <v>1.812461122811676</v>
      </c>
      <c r="D11" s="2">
        <f t="shared" si="0"/>
        <v>2.2281388519862744</v>
      </c>
      <c r="E11" s="2">
        <f t="shared" si="0"/>
        <v>2.7637694581126966</v>
      </c>
      <c r="F11" s="2">
        <f t="shared" si="0"/>
        <v>3.1692726726169518</v>
      </c>
      <c r="G11" s="2">
        <f t="shared" si="0"/>
        <v>4.1437004940465902</v>
      </c>
      <c r="H11" s="2">
        <f t="shared" si="0"/>
        <v>4.586893858702636</v>
      </c>
    </row>
    <row r="12" spans="1:8" x14ac:dyDescent="0.3">
      <c r="A12" s="3">
        <v>11</v>
      </c>
      <c r="B12" s="2">
        <f t="shared" si="1"/>
        <v>1.3634303180205409</v>
      </c>
      <c r="C12" s="2">
        <f t="shared" si="0"/>
        <v>1.7958848187040437</v>
      </c>
      <c r="D12" s="2">
        <f t="shared" si="0"/>
        <v>2.2009851600916384</v>
      </c>
      <c r="E12" s="2">
        <f t="shared" si="0"/>
        <v>2.7180791838138614</v>
      </c>
      <c r="F12" s="2">
        <f t="shared" si="0"/>
        <v>3.1058065155392809</v>
      </c>
      <c r="G12" s="2">
        <f t="shared" si="0"/>
        <v>4.0247010376307388</v>
      </c>
      <c r="H12" s="2">
        <f t="shared" si="0"/>
        <v>4.4369793382344493</v>
      </c>
    </row>
    <row r="13" spans="1:8" x14ac:dyDescent="0.3">
      <c r="A13" s="3">
        <v>12</v>
      </c>
      <c r="B13" s="2">
        <f t="shared" si="1"/>
        <v>1.3562173340232047</v>
      </c>
      <c r="C13" s="2">
        <f t="shared" si="0"/>
        <v>1.7822875556493194</v>
      </c>
      <c r="D13" s="2">
        <f t="shared" si="0"/>
        <v>2.1788128296672284</v>
      </c>
      <c r="E13" s="2">
        <f t="shared" si="0"/>
        <v>2.6809979931209149</v>
      </c>
      <c r="F13" s="2">
        <f t="shared" si="0"/>
        <v>3.0545395893929017</v>
      </c>
      <c r="G13" s="2">
        <f t="shared" si="0"/>
        <v>3.9296332646264918</v>
      </c>
      <c r="H13" s="2">
        <f t="shared" si="0"/>
        <v>4.3177912836061845</v>
      </c>
    </row>
    <row r="14" spans="1:8" x14ac:dyDescent="0.3">
      <c r="A14" s="3">
        <v>13</v>
      </c>
      <c r="B14" s="2">
        <f t="shared" si="1"/>
        <v>1.3501712887800554</v>
      </c>
      <c r="C14" s="2">
        <f t="shared" si="0"/>
        <v>1.7709333959868729</v>
      </c>
      <c r="D14" s="2">
        <f t="shared" si="0"/>
        <v>2.1603686564627926</v>
      </c>
      <c r="E14" s="2">
        <f t="shared" si="0"/>
        <v>2.650308837912192</v>
      </c>
      <c r="F14" s="2">
        <f t="shared" si="0"/>
        <v>3.0122758387165782</v>
      </c>
      <c r="G14" s="2">
        <f t="shared" si="0"/>
        <v>3.8519823911683879</v>
      </c>
      <c r="H14" s="2">
        <f t="shared" si="0"/>
        <v>4.2208317277071208</v>
      </c>
    </row>
    <row r="15" spans="1:8" x14ac:dyDescent="0.3">
      <c r="A15" s="3">
        <v>14</v>
      </c>
      <c r="B15" s="2">
        <f t="shared" si="1"/>
        <v>1.3450303744546506</v>
      </c>
      <c r="C15" s="2">
        <f t="shared" si="0"/>
        <v>1.7613101357748921</v>
      </c>
      <c r="D15" s="2">
        <f t="shared" si="0"/>
        <v>2.1447866879178044</v>
      </c>
      <c r="E15" s="2">
        <f t="shared" si="0"/>
        <v>2.6244940675900517</v>
      </c>
      <c r="F15" s="2">
        <f t="shared" si="0"/>
        <v>2.9768427343708348</v>
      </c>
      <c r="G15" s="2">
        <f t="shared" si="0"/>
        <v>3.7873902375233461</v>
      </c>
      <c r="H15" s="2">
        <f t="shared" si="0"/>
        <v>4.1404541127382029</v>
      </c>
    </row>
    <row r="16" spans="1:8" x14ac:dyDescent="0.3">
      <c r="A16" s="3">
        <v>15</v>
      </c>
      <c r="B16" s="2">
        <f t="shared" si="1"/>
        <v>1.3406056078504547</v>
      </c>
      <c r="C16" s="2">
        <f t="shared" si="0"/>
        <v>1.7530503556925723</v>
      </c>
      <c r="D16" s="2">
        <f t="shared" si="0"/>
        <v>2.1314495455597742</v>
      </c>
      <c r="E16" s="2">
        <f t="shared" si="0"/>
        <v>2.6024802950111221</v>
      </c>
      <c r="F16" s="2">
        <f t="shared" si="0"/>
        <v>2.9467128834752381</v>
      </c>
      <c r="G16" s="2">
        <f t="shared" si="0"/>
        <v>3.7328344253108998</v>
      </c>
      <c r="H16" s="2">
        <f t="shared" si="0"/>
        <v>4.0727651959037905</v>
      </c>
    </row>
    <row r="17" spans="1:8" x14ac:dyDescent="0.3">
      <c r="A17" s="3">
        <v>16</v>
      </c>
      <c r="B17" s="2">
        <f t="shared" si="1"/>
        <v>1.3367571673273144</v>
      </c>
      <c r="C17" s="2">
        <f t="shared" si="0"/>
        <v>1.7458836762762506</v>
      </c>
      <c r="D17" s="2">
        <f t="shared" si="0"/>
        <v>2.119905299221255</v>
      </c>
      <c r="E17" s="2">
        <f t="shared" si="0"/>
        <v>2.5834871852759917</v>
      </c>
      <c r="F17" s="2">
        <f t="shared" si="0"/>
        <v>2.9207816224251002</v>
      </c>
      <c r="G17" s="2">
        <f t="shared" si="0"/>
        <v>3.6861547926860139</v>
      </c>
      <c r="H17" s="2">
        <f t="shared" si="0"/>
        <v>4.0149963271840559</v>
      </c>
    </row>
    <row r="18" spans="1:8" x14ac:dyDescent="0.3">
      <c r="A18" s="3">
        <v>17</v>
      </c>
      <c r="B18" s="2">
        <f t="shared" si="1"/>
        <v>1.3333793897216262</v>
      </c>
      <c r="C18" s="2">
        <f t="shared" si="1"/>
        <v>1.7396067260750732</v>
      </c>
      <c r="D18" s="2">
        <f t="shared" si="1"/>
        <v>2.109815577833317</v>
      </c>
      <c r="E18" s="2">
        <f t="shared" si="1"/>
        <v>2.5669339837247178</v>
      </c>
      <c r="F18" s="2">
        <f t="shared" si="1"/>
        <v>2.8982305196774178</v>
      </c>
      <c r="G18" s="2">
        <f t="shared" si="1"/>
        <v>3.6457673800784094</v>
      </c>
      <c r="H18" s="2">
        <f t="shared" si="1"/>
        <v>3.9651262721190315</v>
      </c>
    </row>
    <row r="19" spans="1:8" x14ac:dyDescent="0.3">
      <c r="A19" s="3">
        <v>18</v>
      </c>
      <c r="B19" s="2">
        <f t="shared" si="1"/>
        <v>1.3303909435699084</v>
      </c>
      <c r="C19" s="2">
        <f t="shared" si="1"/>
        <v>1.7340636066175394</v>
      </c>
      <c r="D19" s="2">
        <f t="shared" si="1"/>
        <v>2.1009220402410378</v>
      </c>
      <c r="E19" s="2">
        <f t="shared" si="1"/>
        <v>2.552379630182251</v>
      </c>
      <c r="F19" s="2">
        <f t="shared" si="1"/>
        <v>2.8784404727386073</v>
      </c>
      <c r="G19" s="2">
        <f t="shared" si="1"/>
        <v>3.6104848848250937</v>
      </c>
      <c r="H19" s="2">
        <f t="shared" si="1"/>
        <v>3.9216458250851596</v>
      </c>
    </row>
    <row r="20" spans="1:8" x14ac:dyDescent="0.3">
      <c r="A20" s="3">
        <v>19</v>
      </c>
      <c r="B20" s="2">
        <f t="shared" ref="B20:H46" si="2">-_xlfn.T.INV(B$1,$A20)</f>
        <v>1.3277282090267981</v>
      </c>
      <c r="C20" s="2">
        <f t="shared" si="2"/>
        <v>1.7291328115213698</v>
      </c>
      <c r="D20" s="2">
        <f t="shared" si="2"/>
        <v>2.0930240544083096</v>
      </c>
      <c r="E20" s="2">
        <f t="shared" si="2"/>
        <v>2.5394831906239612</v>
      </c>
      <c r="F20" s="2">
        <f t="shared" si="2"/>
        <v>2.8609346064649799</v>
      </c>
      <c r="G20" s="2">
        <f t="shared" si="2"/>
        <v>3.5794001489547163</v>
      </c>
      <c r="H20" s="2">
        <f t="shared" si="2"/>
        <v>3.883405852592082</v>
      </c>
    </row>
    <row r="21" spans="1:8" x14ac:dyDescent="0.3">
      <c r="A21" s="3">
        <v>20</v>
      </c>
      <c r="B21" s="2">
        <f t="shared" si="2"/>
        <v>1.3253407069850465</v>
      </c>
      <c r="C21" s="2">
        <f t="shared" si="2"/>
        <v>1.7247182429207868</v>
      </c>
      <c r="D21" s="2">
        <f t="shared" si="2"/>
        <v>2.0859634472658648</v>
      </c>
      <c r="E21" s="2">
        <f t="shared" si="2"/>
        <v>2.5279770027415731</v>
      </c>
      <c r="F21" s="2">
        <f t="shared" si="2"/>
        <v>2.8453397097861091</v>
      </c>
      <c r="G21" s="2">
        <f t="shared" si="2"/>
        <v>3.5518083432033336</v>
      </c>
      <c r="H21" s="2">
        <f t="shared" si="2"/>
        <v>3.8495162749308265</v>
      </c>
    </row>
    <row r="22" spans="1:8" x14ac:dyDescent="0.3">
      <c r="A22" s="3">
        <v>21</v>
      </c>
      <c r="B22" s="2">
        <f t="shared" si="2"/>
        <v>1.3231878738651732</v>
      </c>
      <c r="C22" s="2">
        <f t="shared" si="2"/>
        <v>1.7207429028118781</v>
      </c>
      <c r="D22" s="2">
        <f t="shared" si="2"/>
        <v>2.07961384472768</v>
      </c>
      <c r="E22" s="2">
        <f t="shared" si="2"/>
        <v>2.5176480160447423</v>
      </c>
      <c r="F22" s="2">
        <f t="shared" si="2"/>
        <v>2.8313595580230499</v>
      </c>
      <c r="G22" s="2">
        <f t="shared" si="2"/>
        <v>3.5271536688691771</v>
      </c>
      <c r="H22" s="2">
        <f t="shared" si="2"/>
        <v>3.8192771642744621</v>
      </c>
    </row>
    <row r="23" spans="1:8" x14ac:dyDescent="0.3">
      <c r="A23" s="3">
        <v>22</v>
      </c>
      <c r="B23" s="2">
        <f t="shared" si="2"/>
        <v>1.3212367416133624</v>
      </c>
      <c r="C23" s="2">
        <f t="shared" si="2"/>
        <v>1.7171443743802424</v>
      </c>
      <c r="D23" s="2">
        <f t="shared" si="2"/>
        <v>2.0738730679040258</v>
      </c>
      <c r="E23" s="2">
        <f t="shared" si="2"/>
        <v>2.5083245528990807</v>
      </c>
      <c r="F23" s="2">
        <f t="shared" si="2"/>
        <v>2.8187560606001436</v>
      </c>
      <c r="G23" s="2">
        <f t="shared" si="2"/>
        <v>3.5049920310846621</v>
      </c>
      <c r="H23" s="2">
        <f t="shared" si="2"/>
        <v>3.79213067169839</v>
      </c>
    </row>
    <row r="24" spans="1:8" x14ac:dyDescent="0.3">
      <c r="A24" s="3">
        <v>23</v>
      </c>
      <c r="B24" s="2">
        <f t="shared" si="2"/>
        <v>1.3194602398161621</v>
      </c>
      <c r="C24" s="2">
        <f t="shared" si="2"/>
        <v>1.7138715277470482</v>
      </c>
      <c r="D24" s="2">
        <f t="shared" si="2"/>
        <v>2.0686576104190491</v>
      </c>
      <c r="E24" s="2">
        <f t="shared" si="2"/>
        <v>2.4998667394946681</v>
      </c>
      <c r="F24" s="2">
        <f t="shared" si="2"/>
        <v>2.807335683769999</v>
      </c>
      <c r="G24" s="2">
        <f t="shared" si="2"/>
        <v>3.4849643749398127</v>
      </c>
      <c r="H24" s="2">
        <f t="shared" si="2"/>
        <v>3.7676268043117811</v>
      </c>
    </row>
    <row r="25" spans="1:8" x14ac:dyDescent="0.3">
      <c r="A25" s="3">
        <v>24</v>
      </c>
      <c r="B25" s="2">
        <f t="shared" si="2"/>
        <v>1.3178359336731498</v>
      </c>
      <c r="C25" s="2">
        <f t="shared" si="2"/>
        <v>1.7108820799094284</v>
      </c>
      <c r="D25" s="2">
        <f t="shared" si="2"/>
        <v>2.0638985616280254</v>
      </c>
      <c r="E25" s="2">
        <f t="shared" si="2"/>
        <v>2.492159473157757</v>
      </c>
      <c r="F25" s="2">
        <f t="shared" si="2"/>
        <v>2.7969395047744556</v>
      </c>
      <c r="G25" s="2">
        <f t="shared" si="2"/>
        <v>3.4667772980160274</v>
      </c>
      <c r="H25" s="2">
        <f t="shared" si="2"/>
        <v>3.7453986192900528</v>
      </c>
    </row>
    <row r="26" spans="1:8" x14ac:dyDescent="0.3">
      <c r="A26" s="3">
        <v>25</v>
      </c>
      <c r="B26" s="2">
        <f t="shared" si="2"/>
        <v>1.3163450726738706</v>
      </c>
      <c r="C26" s="2">
        <f t="shared" si="2"/>
        <v>1.7081407612518986</v>
      </c>
      <c r="D26" s="2">
        <f t="shared" si="2"/>
        <v>2.0595385527532977</v>
      </c>
      <c r="E26" s="2">
        <f t="shared" si="2"/>
        <v>2.485107175410763</v>
      </c>
      <c r="F26" s="2">
        <f t="shared" si="2"/>
        <v>2.7874358136769706</v>
      </c>
      <c r="G26" s="2">
        <f t="shared" si="2"/>
        <v>3.4501887269730638</v>
      </c>
      <c r="H26" s="2">
        <f t="shared" si="2"/>
        <v>3.7251439497286496</v>
      </c>
    </row>
    <row r="27" spans="1:8" x14ac:dyDescent="0.3">
      <c r="A27" s="3">
        <v>26</v>
      </c>
      <c r="B27" s="2">
        <f t="shared" si="2"/>
        <v>1.3149718642705173</v>
      </c>
      <c r="C27" s="2">
        <f t="shared" si="2"/>
        <v>1.7056179197592738</v>
      </c>
      <c r="D27" s="2">
        <f t="shared" si="2"/>
        <v>2.0555294386428731</v>
      </c>
      <c r="E27" s="2">
        <f t="shared" si="2"/>
        <v>2.4786298235912425</v>
      </c>
      <c r="F27" s="2">
        <f t="shared" si="2"/>
        <v>2.7787145333296839</v>
      </c>
      <c r="G27" s="2">
        <f t="shared" si="2"/>
        <v>3.4349971815631162</v>
      </c>
      <c r="H27" s="2">
        <f t="shared" si="2"/>
        <v>3.7066117434809116</v>
      </c>
    </row>
    <row r="28" spans="1:8" x14ac:dyDescent="0.3">
      <c r="A28" s="3">
        <v>27</v>
      </c>
      <c r="B28" s="2">
        <f t="shared" si="2"/>
        <v>1.3137029128292739</v>
      </c>
      <c r="C28" s="2">
        <f t="shared" si="2"/>
        <v>1.7032884457221271</v>
      </c>
      <c r="D28" s="2">
        <f t="shared" si="2"/>
        <v>2.0518305164802859</v>
      </c>
      <c r="E28" s="2">
        <f t="shared" si="2"/>
        <v>2.4726599119560069</v>
      </c>
      <c r="F28" s="2">
        <f t="shared" si="2"/>
        <v>2.770682957122212</v>
      </c>
      <c r="G28" s="2">
        <f t="shared" si="2"/>
        <v>3.4210336212293058</v>
      </c>
      <c r="H28" s="2">
        <f t="shared" si="2"/>
        <v>3.6895917134592362</v>
      </c>
    </row>
    <row r="29" spans="1:8" x14ac:dyDescent="0.3">
      <c r="A29" s="3">
        <v>28</v>
      </c>
      <c r="B29" s="2">
        <f t="shared" si="2"/>
        <v>1.3125267815926682</v>
      </c>
      <c r="C29" s="2">
        <f t="shared" si="2"/>
        <v>1.7011309342659326</v>
      </c>
      <c r="D29" s="2">
        <f t="shared" si="2"/>
        <v>2.0484071417952445</v>
      </c>
      <c r="E29" s="2">
        <f t="shared" si="2"/>
        <v>2.467140097967472</v>
      </c>
      <c r="F29" s="2">
        <f t="shared" si="2"/>
        <v>2.7632624554614447</v>
      </c>
      <c r="G29" s="2">
        <f t="shared" si="2"/>
        <v>3.4081551783533595</v>
      </c>
      <c r="H29" s="2">
        <f t="shared" si="2"/>
        <v>3.6739064007012763</v>
      </c>
    </row>
    <row r="30" spans="1:8" x14ac:dyDescent="0.3">
      <c r="A30" s="3">
        <v>29</v>
      </c>
      <c r="B30" s="2">
        <f t="shared" si="2"/>
        <v>1.3114336473015527</v>
      </c>
      <c r="C30" s="2">
        <f t="shared" si="2"/>
        <v>1.6991270265334986</v>
      </c>
      <c r="D30" s="2">
        <f t="shared" si="2"/>
        <v>2.0452296421327048</v>
      </c>
      <c r="E30" s="2">
        <f t="shared" si="2"/>
        <v>2.4620213601504126</v>
      </c>
      <c r="F30" s="2">
        <f t="shared" si="2"/>
        <v>2.7563859036706049</v>
      </c>
      <c r="G30" s="2">
        <f t="shared" si="2"/>
        <v>3.3962402883568026</v>
      </c>
      <c r="H30" s="2">
        <f t="shared" si="2"/>
        <v>3.659405019466333</v>
      </c>
    </row>
    <row r="31" spans="1:8" x14ac:dyDescent="0.3">
      <c r="A31" s="3">
        <v>30</v>
      </c>
      <c r="B31" s="2">
        <f t="shared" si="2"/>
        <v>1.3104150253913947</v>
      </c>
      <c r="C31" s="2">
        <f t="shared" si="2"/>
        <v>1.6972608865939587</v>
      </c>
      <c r="D31" s="2">
        <f t="shared" si="2"/>
        <v>2.0422724563012378</v>
      </c>
      <c r="E31" s="2">
        <f t="shared" si="2"/>
        <v>2.4572615424005915</v>
      </c>
      <c r="F31" s="2">
        <f t="shared" si="2"/>
        <v>2.7499956535672259</v>
      </c>
      <c r="G31" s="2">
        <f t="shared" si="2"/>
        <v>3.385184866829305</v>
      </c>
      <c r="H31" s="2">
        <f t="shared" si="2"/>
        <v>3.6459586350420214</v>
      </c>
    </row>
    <row r="32" spans="1:8" x14ac:dyDescent="0.3">
      <c r="A32" s="3">
        <v>31</v>
      </c>
      <c r="B32" s="2">
        <f t="shared" si="2"/>
        <v>1.3094635494946458</v>
      </c>
      <c r="C32" s="2">
        <f t="shared" si="2"/>
        <v>1.6955187825458664</v>
      </c>
      <c r="D32" s="2">
        <f t="shared" si="2"/>
        <v>2.0395134463964082</v>
      </c>
      <c r="E32" s="2">
        <f t="shared" si="2"/>
        <v>2.4528241934026456</v>
      </c>
      <c r="F32" s="2">
        <f t="shared" si="2"/>
        <v>2.7440419192942698</v>
      </c>
      <c r="G32" s="2">
        <f t="shared" si="2"/>
        <v>3.3748992804233033</v>
      </c>
      <c r="H32" s="2">
        <f t="shared" si="2"/>
        <v>3.633456349758331</v>
      </c>
    </row>
    <row r="33" spans="1:8" x14ac:dyDescent="0.3">
      <c r="A33" s="3">
        <v>32</v>
      </c>
      <c r="B33" s="2">
        <f t="shared" si="2"/>
        <v>1.3085727931295197</v>
      </c>
      <c r="C33" s="2">
        <f t="shared" si="2"/>
        <v>1.6938887483837093</v>
      </c>
      <c r="D33" s="2">
        <f t="shared" si="2"/>
        <v>2.0369333434601011</v>
      </c>
      <c r="E33" s="2">
        <f t="shared" si="2"/>
        <v>2.4486776336720522</v>
      </c>
      <c r="F33" s="2">
        <f t="shared" si="2"/>
        <v>2.7384814820121886</v>
      </c>
      <c r="G33" s="2">
        <f t="shared" si="2"/>
        <v>3.3653059258594324</v>
      </c>
      <c r="H33" s="2">
        <f t="shared" si="2"/>
        <v>3.6218022598674953</v>
      </c>
    </row>
    <row r="34" spans="1:8" x14ac:dyDescent="0.3">
      <c r="A34" s="3">
        <v>33</v>
      </c>
      <c r="B34" s="2">
        <f t="shared" si="2"/>
        <v>1.3077371244508877</v>
      </c>
      <c r="C34" s="2">
        <f t="shared" si="2"/>
        <v>1.6923603090303456</v>
      </c>
      <c r="D34" s="2">
        <f t="shared" si="2"/>
        <v>2.0345152974493397</v>
      </c>
      <c r="E34" s="2">
        <f t="shared" si="2"/>
        <v>2.4447941998078058</v>
      </c>
      <c r="F34" s="2">
        <f t="shared" si="2"/>
        <v>2.733276642350837</v>
      </c>
      <c r="G34" s="2">
        <f t="shared" si="2"/>
        <v>3.3563372793636281</v>
      </c>
      <c r="H34" s="2">
        <f t="shared" si="2"/>
        <v>3.6109130076544274</v>
      </c>
    </row>
    <row r="35" spans="1:8" x14ac:dyDescent="0.3">
      <c r="A35" s="3">
        <v>34</v>
      </c>
      <c r="B35" s="2">
        <f t="shared" si="2"/>
        <v>1.3069515871264279</v>
      </c>
      <c r="C35" s="2">
        <f t="shared" si="2"/>
        <v>1.6909242551868542</v>
      </c>
      <c r="D35" s="2">
        <f t="shared" si="2"/>
        <v>2.0322445093177191</v>
      </c>
      <c r="E35" s="2">
        <f t="shared" si="2"/>
        <v>2.4411496279064839</v>
      </c>
      <c r="F35" s="2">
        <f t="shared" si="2"/>
        <v>2.7283943670707203</v>
      </c>
      <c r="G35" s="2">
        <f t="shared" si="2"/>
        <v>3.3479343133335262</v>
      </c>
      <c r="H35" s="2">
        <f t="shared" si="2"/>
        <v>3.6007157973864077</v>
      </c>
    </row>
    <row r="36" spans="1:8" x14ac:dyDescent="0.3">
      <c r="A36" s="3">
        <v>35</v>
      </c>
      <c r="B36" s="2">
        <f t="shared" si="2"/>
        <v>1.3062118020160358</v>
      </c>
      <c r="C36" s="2">
        <f t="shared" si="2"/>
        <v>1.6895724577802647</v>
      </c>
      <c r="D36" s="2">
        <f t="shared" si="2"/>
        <v>2.0301079282503438</v>
      </c>
      <c r="E36" s="2">
        <f t="shared" si="2"/>
        <v>2.4377225471437423</v>
      </c>
      <c r="F36" s="2">
        <f t="shared" si="2"/>
        <v>2.7238055892080912</v>
      </c>
      <c r="G36" s="2">
        <f t="shared" si="2"/>
        <v>3.3400452020985849</v>
      </c>
      <c r="H36" s="2">
        <f t="shared" si="2"/>
        <v>3.5911467758107785</v>
      </c>
    </row>
    <row r="37" spans="1:8" x14ac:dyDescent="0.3">
      <c r="A37" s="3">
        <v>36</v>
      </c>
      <c r="B37" s="2">
        <f t="shared" si="2"/>
        <v>1.3055138855362491</v>
      </c>
      <c r="C37" s="2">
        <f t="shared" si="2"/>
        <v>1.6882977141168172</v>
      </c>
      <c r="D37" s="2">
        <f t="shared" si="2"/>
        <v>2.028094000980452</v>
      </c>
      <c r="E37" s="2">
        <f t="shared" si="2"/>
        <v>2.4344940612311401</v>
      </c>
      <c r="F37" s="2">
        <f t="shared" si="2"/>
        <v>2.7194846304500082</v>
      </c>
      <c r="G37" s="2">
        <f t="shared" si="2"/>
        <v>3.3326242570625007</v>
      </c>
      <c r="H37" s="2">
        <f t="shared" si="2"/>
        <v>3.5821497014563373</v>
      </c>
    </row>
    <row r="38" spans="1:8" x14ac:dyDescent="0.3">
      <c r="A38" s="3">
        <v>37</v>
      </c>
      <c r="B38" s="2">
        <f t="shared" si="2"/>
        <v>1.3048543814976252</v>
      </c>
      <c r="C38" s="2">
        <f t="shared" si="2"/>
        <v>1.6870936195962629</v>
      </c>
      <c r="D38" s="2">
        <f t="shared" si="2"/>
        <v>2.026192463029111</v>
      </c>
      <c r="E38" s="2">
        <f t="shared" si="2"/>
        <v>2.4314474004646742</v>
      </c>
      <c r="F38" s="2">
        <f t="shared" si="2"/>
        <v>2.7154087215499887</v>
      </c>
      <c r="G38" s="2">
        <f t="shared" si="2"/>
        <v>3.3256310451969409</v>
      </c>
      <c r="H38" s="2">
        <f t="shared" si="2"/>
        <v>3.5736748444452058</v>
      </c>
    </row>
    <row r="39" spans="1:8" x14ac:dyDescent="0.3">
      <c r="A39" s="3">
        <v>38</v>
      </c>
      <c r="B39" s="2">
        <f t="shared" si="2"/>
        <v>1.3042302038905009</v>
      </c>
      <c r="C39" s="2">
        <f t="shared" si="2"/>
        <v>1.6859544601667387</v>
      </c>
      <c r="D39" s="2">
        <f t="shared" si="2"/>
        <v>2.0243941639119702</v>
      </c>
      <c r="E39" s="2">
        <f t="shared" si="2"/>
        <v>2.4285676308590882</v>
      </c>
      <c r="F39" s="2">
        <f t="shared" si="2"/>
        <v>2.711557601913082</v>
      </c>
      <c r="G39" s="2">
        <f t="shared" si="2"/>
        <v>3.3190296551103571</v>
      </c>
      <c r="H39" s="2">
        <f t="shared" si="2"/>
        <v>3.5656780715802339</v>
      </c>
    </row>
    <row r="40" spans="1:8" x14ac:dyDescent="0.3">
      <c r="A40" s="3">
        <v>39</v>
      </c>
      <c r="B40" s="2">
        <f t="shared" si="2"/>
        <v>1.3036385886212738</v>
      </c>
      <c r="C40" s="2">
        <f t="shared" si="2"/>
        <v>1.6848751217112248</v>
      </c>
      <c r="D40" s="2">
        <f t="shared" si="2"/>
        <v>2.0226909200367595</v>
      </c>
      <c r="E40" s="2">
        <f t="shared" si="2"/>
        <v>2.4258414097356304</v>
      </c>
      <c r="F40" s="2">
        <f t="shared" si="2"/>
        <v>2.7079131835176615</v>
      </c>
      <c r="G40" s="2">
        <f t="shared" si="2"/>
        <v>3.3127880826719012</v>
      </c>
      <c r="H40" s="2">
        <f t="shared" si="2"/>
        <v>3.5581200813327323</v>
      </c>
    </row>
    <row r="41" spans="1:8" x14ac:dyDescent="0.3">
      <c r="A41" s="3">
        <v>40</v>
      </c>
      <c r="B41" s="2">
        <f t="shared" si="2"/>
        <v>1.3030770526071962</v>
      </c>
      <c r="C41" s="2">
        <f t="shared" si="2"/>
        <v>1.6838510133356521</v>
      </c>
      <c r="D41" s="2">
        <f t="shared" si="2"/>
        <v>2.0210753903062737</v>
      </c>
      <c r="E41" s="2">
        <f t="shared" si="2"/>
        <v>2.4232567793348583</v>
      </c>
      <c r="F41" s="2">
        <f t="shared" si="2"/>
        <v>2.7044592674331631</v>
      </c>
      <c r="G41" s="2">
        <f t="shared" si="2"/>
        <v>3.3068777140858225</v>
      </c>
      <c r="H41" s="2">
        <f t="shared" si="2"/>
        <v>3.5509657608633112</v>
      </c>
    </row>
    <row r="42" spans="1:8" x14ac:dyDescent="0.3">
      <c r="A42" s="3">
        <v>41</v>
      </c>
      <c r="B42" s="2">
        <f t="shared" si="2"/>
        <v>1.3025433589533821</v>
      </c>
      <c r="C42" s="2">
        <f t="shared" si="2"/>
        <v>1.6828780021327077</v>
      </c>
      <c r="D42" s="2">
        <f t="shared" si="2"/>
        <v>2.0195409704413767</v>
      </c>
      <c r="E42" s="2">
        <f t="shared" si="2"/>
        <v>2.420802991729079</v>
      </c>
      <c r="F42" s="2">
        <f t="shared" si="2"/>
        <v>2.7011813035785219</v>
      </c>
      <c r="G42" s="2">
        <f t="shared" si="2"/>
        <v>3.3012728888594425</v>
      </c>
      <c r="H42" s="2">
        <f t="shared" si="2"/>
        <v>3.5441836429715834</v>
      </c>
    </row>
    <row r="43" spans="1:8" x14ac:dyDescent="0.3">
      <c r="A43" s="3">
        <v>42</v>
      </c>
      <c r="B43" s="2">
        <f t="shared" si="2"/>
        <v>1.3020354871825144</v>
      </c>
      <c r="C43" s="2">
        <f t="shared" si="2"/>
        <v>1.6819523574675355</v>
      </c>
      <c r="D43" s="2">
        <f t="shared" si="2"/>
        <v>2.0180817028184461</v>
      </c>
      <c r="E43" s="2">
        <f t="shared" si="2"/>
        <v>2.4184703596346364</v>
      </c>
      <c r="F43" s="2">
        <f t="shared" si="2"/>
        <v>2.6980661862199842</v>
      </c>
      <c r="G43" s="2">
        <f t="shared" si="2"/>
        <v>3.2959505286297239</v>
      </c>
      <c r="H43" s="2">
        <f t="shared" si="2"/>
        <v>3.5377454453274293</v>
      </c>
    </row>
    <row r="44" spans="1:8" x14ac:dyDescent="0.3">
      <c r="A44" s="3">
        <v>43</v>
      </c>
      <c r="B44" s="2">
        <f t="shared" si="2"/>
        <v>1.301551607682168</v>
      </c>
      <c r="C44" s="2">
        <f t="shared" si="2"/>
        <v>1.6810707032025196</v>
      </c>
      <c r="D44" s="2">
        <f t="shared" si="2"/>
        <v>2.0166921992278248</v>
      </c>
      <c r="E44" s="2">
        <f t="shared" si="2"/>
        <v>2.416250128762973</v>
      </c>
      <c r="F44" s="2">
        <f t="shared" si="2"/>
        <v>2.695102079157675</v>
      </c>
      <c r="G44" s="2">
        <f t="shared" si="2"/>
        <v>3.2908898205606181</v>
      </c>
      <c r="H44" s="2">
        <f t="shared" si="2"/>
        <v>3.5316256778080515</v>
      </c>
    </row>
    <row r="45" spans="1:8" x14ac:dyDescent="0.3">
      <c r="A45" s="3">
        <v>44</v>
      </c>
      <c r="B45" s="2">
        <f t="shared" si="2"/>
        <v>1.3010900596888011</v>
      </c>
      <c r="C45" s="2">
        <f t="shared" si="2"/>
        <v>1.680229976572116</v>
      </c>
      <c r="D45" s="2">
        <f t="shared" si="2"/>
        <v>2.0153675744437649</v>
      </c>
      <c r="E45" s="2">
        <f t="shared" si="2"/>
        <v>2.4141343681687393</v>
      </c>
      <c r="F45" s="2">
        <f t="shared" si="2"/>
        <v>2.6922782656930231</v>
      </c>
      <c r="G45" s="2">
        <f t="shared" si="2"/>
        <v>3.2860719461802881</v>
      </c>
      <c r="H45" s="2">
        <f t="shared" si="2"/>
        <v>3.5258013064871769</v>
      </c>
    </row>
    <row r="46" spans="1:8" x14ac:dyDescent="0.3">
      <c r="A46" s="3">
        <v>45</v>
      </c>
      <c r="B46" s="2">
        <f t="shared" si="2"/>
        <v>1.3006493322502373</v>
      </c>
      <c r="C46" s="2">
        <f t="shared" si="2"/>
        <v>1.6794273926523535</v>
      </c>
      <c r="D46" s="2">
        <f t="shared" si="2"/>
        <v>2.0141033888808457</v>
      </c>
      <c r="E46" s="2">
        <f t="shared" si="2"/>
        <v>2.4121158757033583</v>
      </c>
      <c r="F46" s="2">
        <f t="shared" si="2"/>
        <v>2.6895850193746429</v>
      </c>
      <c r="G46" s="2">
        <f t="shared" si="2"/>
        <v>3.2814798482316827</v>
      </c>
      <c r="H46" s="2">
        <f t="shared" si="2"/>
        <v>3.5202514649710976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F8EC-BB50-4842-B59C-12246EEEB264}">
  <dimension ref="A1:K47"/>
  <sheetViews>
    <sheetView workbookViewId="0">
      <selection activeCell="D11" sqref="D11"/>
    </sheetView>
  </sheetViews>
  <sheetFormatPr defaultRowHeight="14" x14ac:dyDescent="0.3"/>
  <cols>
    <col min="1" max="1" width="8.6640625" style="3"/>
    <col min="2" max="2" width="12.5" bestFit="1" customWidth="1"/>
  </cols>
  <sheetData>
    <row r="1" spans="1:11" s="3" customFormat="1" x14ac:dyDescent="0.3">
      <c r="A1" s="4" t="s">
        <v>1</v>
      </c>
      <c r="B1" s="8">
        <v>0.995</v>
      </c>
      <c r="C1" s="8">
        <v>0.99</v>
      </c>
      <c r="D1" s="8">
        <v>0.97499999999999998</v>
      </c>
      <c r="E1" s="8">
        <v>0.95</v>
      </c>
      <c r="F1" s="8">
        <v>0.9</v>
      </c>
      <c r="G1" s="8">
        <v>0.1</v>
      </c>
      <c r="H1" s="8">
        <v>0.05</v>
      </c>
      <c r="I1" s="8">
        <v>2.5000000000000001E-2</v>
      </c>
      <c r="J1" s="8">
        <v>0.01</v>
      </c>
      <c r="K1" s="8">
        <v>5.0000000000000001E-3</v>
      </c>
    </row>
    <row r="2" spans="1:11" x14ac:dyDescent="0.3">
      <c r="A2" s="4">
        <v>1</v>
      </c>
      <c r="B2" s="5">
        <f>_xlfn.CHISQ.INV.RT(B$1,$A2)</f>
        <v>3.9270422220515978E-5</v>
      </c>
      <c r="C2" s="5">
        <f t="shared" ref="C2:K17" si="0">_xlfn.CHISQ.INV.RT(C$1,$A2)</f>
        <v>1.5708785790970227E-4</v>
      </c>
      <c r="D2" s="5">
        <f t="shared" si="0"/>
        <v>9.8206911717525812E-4</v>
      </c>
      <c r="E2" s="5">
        <f t="shared" si="0"/>
        <v>3.9321400000195293E-3</v>
      </c>
      <c r="F2" s="5">
        <f t="shared" si="0"/>
        <v>1.5790774093431218E-2</v>
      </c>
      <c r="G2" s="5">
        <f t="shared" si="0"/>
        <v>2.7055434540954142</v>
      </c>
      <c r="H2" s="5">
        <f t="shared" si="0"/>
        <v>3.8414588206941236</v>
      </c>
      <c r="I2" s="5">
        <f t="shared" si="0"/>
        <v>5.0238861873148863</v>
      </c>
      <c r="J2" s="5">
        <f t="shared" si="0"/>
        <v>6.6348966010212118</v>
      </c>
      <c r="K2" s="5">
        <f t="shared" si="0"/>
        <v>7.8794385766224124</v>
      </c>
    </row>
    <row r="3" spans="1:11" x14ac:dyDescent="0.3">
      <c r="A3" s="4">
        <v>2</v>
      </c>
      <c r="B3" s="5">
        <f t="shared" ref="B3:K22" si="1">_xlfn.CHISQ.INV.RT(B$1,$A3)</f>
        <v>1.0025083647088573E-2</v>
      </c>
      <c r="C3" s="5">
        <f t="shared" si="0"/>
        <v>2.0100671707002901E-2</v>
      </c>
      <c r="D3" s="5">
        <f t="shared" si="0"/>
        <v>5.0635615968579795E-2</v>
      </c>
      <c r="E3" s="5">
        <f t="shared" si="0"/>
        <v>0.10258658877510116</v>
      </c>
      <c r="F3" s="5">
        <f t="shared" si="0"/>
        <v>0.21072103131565256</v>
      </c>
      <c r="G3" s="5">
        <f t="shared" si="0"/>
        <v>4.6051701859880909</v>
      </c>
      <c r="H3" s="5">
        <f t="shared" si="0"/>
        <v>5.9914645471079817</v>
      </c>
      <c r="I3" s="5">
        <f t="shared" si="0"/>
        <v>7.3777589082278725</v>
      </c>
      <c r="J3" s="5">
        <f t="shared" si="0"/>
        <v>9.2103403719761818</v>
      </c>
      <c r="K3" s="5">
        <f t="shared" si="0"/>
        <v>10.596634733096073</v>
      </c>
    </row>
    <row r="4" spans="1:11" x14ac:dyDescent="0.3">
      <c r="A4" s="4">
        <v>3</v>
      </c>
      <c r="B4" s="5">
        <f t="shared" si="1"/>
        <v>7.1721774586491635E-2</v>
      </c>
      <c r="C4" s="5">
        <f t="shared" si="0"/>
        <v>0.11483180189911682</v>
      </c>
      <c r="D4" s="5">
        <f t="shared" si="0"/>
        <v>0.2157952826238981</v>
      </c>
      <c r="E4" s="5">
        <f t="shared" si="0"/>
        <v>0.35184631774927172</v>
      </c>
      <c r="F4" s="5">
        <f t="shared" si="0"/>
        <v>0.58437437415518312</v>
      </c>
      <c r="G4" s="5">
        <f t="shared" si="0"/>
        <v>6.2513886311703235</v>
      </c>
      <c r="H4" s="5">
        <f t="shared" si="0"/>
        <v>7.8147279032511792</v>
      </c>
      <c r="I4" s="5">
        <f t="shared" si="0"/>
        <v>9.3484036044961485</v>
      </c>
      <c r="J4" s="5">
        <f t="shared" si="0"/>
        <v>11.344866730144371</v>
      </c>
      <c r="K4" s="5">
        <f t="shared" si="0"/>
        <v>12.838156466598651</v>
      </c>
    </row>
    <row r="5" spans="1:11" x14ac:dyDescent="0.3">
      <c r="A5" s="4">
        <v>4</v>
      </c>
      <c r="B5" s="5">
        <f t="shared" si="1"/>
        <v>0.20698909349618236</v>
      </c>
      <c r="C5" s="5">
        <f t="shared" si="0"/>
        <v>0.29710948050653158</v>
      </c>
      <c r="D5" s="5">
        <f t="shared" si="0"/>
        <v>0.4844185570879303</v>
      </c>
      <c r="E5" s="5">
        <f t="shared" si="0"/>
        <v>0.71072302139732446</v>
      </c>
      <c r="F5" s="5">
        <f t="shared" si="0"/>
        <v>1.0636232167792243</v>
      </c>
      <c r="G5" s="5">
        <f t="shared" si="0"/>
        <v>7.7794403397348582</v>
      </c>
      <c r="H5" s="5">
        <f t="shared" si="0"/>
        <v>9.4877290367811575</v>
      </c>
      <c r="I5" s="5">
        <f t="shared" si="0"/>
        <v>11.143286781877798</v>
      </c>
      <c r="J5" s="5">
        <f t="shared" si="0"/>
        <v>13.276704135987623</v>
      </c>
      <c r="K5" s="5">
        <f t="shared" si="0"/>
        <v>14.860259000560244</v>
      </c>
    </row>
    <row r="6" spans="1:11" x14ac:dyDescent="0.3">
      <c r="A6" s="4">
        <v>5</v>
      </c>
      <c r="B6" s="5">
        <f t="shared" si="1"/>
        <v>0.41174190383249976</v>
      </c>
      <c r="C6" s="5">
        <f t="shared" si="0"/>
        <v>0.55429807672827713</v>
      </c>
      <c r="D6" s="5">
        <f t="shared" si="0"/>
        <v>0.83121161348666384</v>
      </c>
      <c r="E6" s="5">
        <f t="shared" si="0"/>
        <v>1.1454762260617699</v>
      </c>
      <c r="F6" s="5">
        <f t="shared" si="0"/>
        <v>1.6103079869623229</v>
      </c>
      <c r="G6" s="5">
        <f t="shared" si="0"/>
        <v>9.2363568997811178</v>
      </c>
      <c r="H6" s="5">
        <f t="shared" si="0"/>
        <v>11.070497693516353</v>
      </c>
      <c r="I6" s="5">
        <f t="shared" si="0"/>
        <v>12.832501994030029</v>
      </c>
      <c r="J6" s="5">
        <f t="shared" si="0"/>
        <v>15.086272469388991</v>
      </c>
      <c r="K6" s="5">
        <f t="shared" si="0"/>
        <v>16.749602343639044</v>
      </c>
    </row>
    <row r="7" spans="1:11" x14ac:dyDescent="0.3">
      <c r="A7" s="4">
        <v>6</v>
      </c>
      <c r="B7" s="5">
        <f t="shared" si="1"/>
        <v>0.67572677745546794</v>
      </c>
      <c r="C7" s="5">
        <f t="shared" si="0"/>
        <v>0.87209033015658521</v>
      </c>
      <c r="D7" s="5">
        <f t="shared" si="0"/>
        <v>1.2373442457912045</v>
      </c>
      <c r="E7" s="5">
        <f t="shared" si="0"/>
        <v>1.6353828943279067</v>
      </c>
      <c r="F7" s="5">
        <f t="shared" si="0"/>
        <v>2.2041306564986418</v>
      </c>
      <c r="G7" s="5">
        <f t="shared" si="0"/>
        <v>10.64464067566842</v>
      </c>
      <c r="H7" s="5">
        <f t="shared" si="0"/>
        <v>12.591587243743978</v>
      </c>
      <c r="I7" s="5">
        <f t="shared" si="0"/>
        <v>14.449375335447922</v>
      </c>
      <c r="J7" s="5">
        <f t="shared" si="0"/>
        <v>16.811893829770931</v>
      </c>
      <c r="K7" s="5">
        <f t="shared" si="0"/>
        <v>18.547584178511091</v>
      </c>
    </row>
    <row r="8" spans="1:11" x14ac:dyDescent="0.3">
      <c r="A8" s="4">
        <v>7</v>
      </c>
      <c r="B8" s="5">
        <f t="shared" si="1"/>
        <v>0.98925568313295031</v>
      </c>
      <c r="C8" s="5">
        <f t="shared" si="0"/>
        <v>1.2390423055679303</v>
      </c>
      <c r="D8" s="5">
        <f t="shared" si="0"/>
        <v>1.6898691806773543</v>
      </c>
      <c r="E8" s="5">
        <f t="shared" si="0"/>
        <v>2.167349909298057</v>
      </c>
      <c r="F8" s="5">
        <f t="shared" si="0"/>
        <v>2.8331069178153436</v>
      </c>
      <c r="G8" s="5">
        <f t="shared" si="0"/>
        <v>12.01703662378053</v>
      </c>
      <c r="H8" s="5">
        <f t="shared" si="0"/>
        <v>14.067140449340167</v>
      </c>
      <c r="I8" s="5">
        <f t="shared" si="0"/>
        <v>16.012764274629326</v>
      </c>
      <c r="J8" s="5">
        <f t="shared" si="0"/>
        <v>18.475306906582361</v>
      </c>
      <c r="K8" s="5">
        <f t="shared" si="0"/>
        <v>20.277739874962624</v>
      </c>
    </row>
    <row r="9" spans="1:11" x14ac:dyDescent="0.3">
      <c r="A9" s="4">
        <v>8</v>
      </c>
      <c r="B9" s="5">
        <f t="shared" si="1"/>
        <v>1.3444130870148152</v>
      </c>
      <c r="C9" s="5">
        <f t="shared" si="0"/>
        <v>1.6464973726907688</v>
      </c>
      <c r="D9" s="5">
        <f t="shared" si="0"/>
        <v>2.1797307472526506</v>
      </c>
      <c r="E9" s="5">
        <f t="shared" si="0"/>
        <v>2.7326367934996632</v>
      </c>
      <c r="F9" s="5">
        <f t="shared" si="0"/>
        <v>3.4895391256498209</v>
      </c>
      <c r="G9" s="5">
        <f t="shared" si="0"/>
        <v>13.361566136511726</v>
      </c>
      <c r="H9" s="5">
        <f t="shared" si="0"/>
        <v>15.507313055865453</v>
      </c>
      <c r="I9" s="5">
        <f t="shared" si="0"/>
        <v>17.53454613948465</v>
      </c>
      <c r="J9" s="5">
        <f t="shared" si="0"/>
        <v>20.090235029663233</v>
      </c>
      <c r="K9" s="5">
        <f t="shared" si="0"/>
        <v>21.95495499065953</v>
      </c>
    </row>
    <row r="10" spans="1:11" x14ac:dyDescent="0.3">
      <c r="A10" s="4">
        <v>9</v>
      </c>
      <c r="B10" s="5">
        <f t="shared" si="1"/>
        <v>1.7349329049966573</v>
      </c>
      <c r="C10" s="5">
        <f t="shared" si="0"/>
        <v>2.0879007358707233</v>
      </c>
      <c r="D10" s="5">
        <f t="shared" si="0"/>
        <v>2.7003894999803584</v>
      </c>
      <c r="E10" s="5">
        <f t="shared" si="0"/>
        <v>3.3251128430668162</v>
      </c>
      <c r="F10" s="5">
        <f t="shared" si="0"/>
        <v>4.168159008146108</v>
      </c>
      <c r="G10" s="5">
        <f t="shared" si="0"/>
        <v>14.683656573259835</v>
      </c>
      <c r="H10" s="5">
        <f t="shared" si="0"/>
        <v>16.918977604620451</v>
      </c>
      <c r="I10" s="5">
        <f t="shared" si="0"/>
        <v>19.022767798641635</v>
      </c>
      <c r="J10" s="5">
        <f t="shared" si="0"/>
        <v>21.665994333461931</v>
      </c>
      <c r="K10" s="5">
        <f t="shared" si="0"/>
        <v>23.589350781257387</v>
      </c>
    </row>
    <row r="11" spans="1:11" x14ac:dyDescent="0.3">
      <c r="A11" s="4">
        <v>10</v>
      </c>
      <c r="B11" s="5">
        <f t="shared" si="1"/>
        <v>2.1558564813046455</v>
      </c>
      <c r="C11" s="5">
        <f t="shared" si="0"/>
        <v>2.5582121601872081</v>
      </c>
      <c r="D11" s="5">
        <f t="shared" si="0"/>
        <v>3.2469727802368396</v>
      </c>
      <c r="E11" s="5">
        <f t="shared" si="0"/>
        <v>3.9402991361190622</v>
      </c>
      <c r="F11" s="5">
        <f t="shared" si="0"/>
        <v>4.8651820519253288</v>
      </c>
      <c r="G11" s="5">
        <f t="shared" si="0"/>
        <v>15.987179172105261</v>
      </c>
      <c r="H11" s="5">
        <f t="shared" si="0"/>
        <v>18.307038053275146</v>
      </c>
      <c r="I11" s="5">
        <f t="shared" si="0"/>
        <v>20.483177350807395</v>
      </c>
      <c r="J11" s="5">
        <f t="shared" si="0"/>
        <v>23.209251158954359</v>
      </c>
      <c r="K11" s="5">
        <f t="shared" si="0"/>
        <v>25.188179571971173</v>
      </c>
    </row>
    <row r="12" spans="1:11" x14ac:dyDescent="0.3">
      <c r="A12" s="4">
        <v>11</v>
      </c>
      <c r="B12" s="5">
        <f t="shared" si="1"/>
        <v>2.6032218905151172</v>
      </c>
      <c r="C12" s="5">
        <f t="shared" si="0"/>
        <v>3.0534841066406813</v>
      </c>
      <c r="D12" s="5">
        <f t="shared" si="0"/>
        <v>3.8157482522361006</v>
      </c>
      <c r="E12" s="5">
        <f t="shared" si="0"/>
        <v>4.5748130793222259</v>
      </c>
      <c r="F12" s="5">
        <f t="shared" si="0"/>
        <v>5.5777847897998516</v>
      </c>
      <c r="G12" s="5">
        <f t="shared" si="0"/>
        <v>17.275008517500069</v>
      </c>
      <c r="H12" s="5">
        <f t="shared" si="0"/>
        <v>19.675137572682498</v>
      </c>
      <c r="I12" s="5">
        <f t="shared" si="0"/>
        <v>21.920049261021205</v>
      </c>
      <c r="J12" s="5">
        <f t="shared" si="0"/>
        <v>24.724970311318284</v>
      </c>
      <c r="K12" s="5">
        <f t="shared" si="0"/>
        <v>26.756848916469632</v>
      </c>
    </row>
    <row r="13" spans="1:11" x14ac:dyDescent="0.3">
      <c r="A13" s="4">
        <v>12</v>
      </c>
      <c r="B13" s="5">
        <f t="shared" si="1"/>
        <v>3.0738236380893325</v>
      </c>
      <c r="C13" s="5">
        <f t="shared" si="0"/>
        <v>3.5705689706043899</v>
      </c>
      <c r="D13" s="5">
        <f t="shared" si="0"/>
        <v>4.4037885069817033</v>
      </c>
      <c r="E13" s="5">
        <f t="shared" si="0"/>
        <v>5.2260294883926397</v>
      </c>
      <c r="F13" s="5">
        <f t="shared" si="0"/>
        <v>6.3037960595843234</v>
      </c>
      <c r="G13" s="5">
        <f t="shared" si="0"/>
        <v>18.549347786703244</v>
      </c>
      <c r="H13" s="5">
        <f t="shared" si="0"/>
        <v>21.026069817483066</v>
      </c>
      <c r="I13" s="5">
        <f t="shared" si="0"/>
        <v>23.336664158645338</v>
      </c>
      <c r="J13" s="5">
        <f t="shared" si="0"/>
        <v>26.216967305535849</v>
      </c>
      <c r="K13" s="5">
        <f t="shared" si="0"/>
        <v>28.299518822046032</v>
      </c>
    </row>
    <row r="14" spans="1:11" x14ac:dyDescent="0.3">
      <c r="A14" s="4">
        <v>13</v>
      </c>
      <c r="B14" s="5">
        <f t="shared" si="1"/>
        <v>3.5650345797295349</v>
      </c>
      <c r="C14" s="5">
        <f t="shared" si="0"/>
        <v>4.1069154715044069</v>
      </c>
      <c r="D14" s="5">
        <f t="shared" si="0"/>
        <v>5.0087505118103319</v>
      </c>
      <c r="E14" s="5">
        <f t="shared" si="0"/>
        <v>5.8918643377098476</v>
      </c>
      <c r="F14" s="5">
        <f t="shared" si="0"/>
        <v>7.0415045800954621</v>
      </c>
      <c r="G14" s="5">
        <f t="shared" si="0"/>
        <v>19.81192930712756</v>
      </c>
      <c r="H14" s="5">
        <f t="shared" si="0"/>
        <v>22.362032494826938</v>
      </c>
      <c r="I14" s="5">
        <f t="shared" si="0"/>
        <v>24.73560488493154</v>
      </c>
      <c r="J14" s="5">
        <f t="shared" si="0"/>
        <v>27.688249610457049</v>
      </c>
      <c r="K14" s="5">
        <f t="shared" si="0"/>
        <v>29.819471223653217</v>
      </c>
    </row>
    <row r="15" spans="1:11" x14ac:dyDescent="0.3">
      <c r="A15" s="4">
        <v>14</v>
      </c>
      <c r="B15" s="5">
        <f t="shared" si="1"/>
        <v>4.0746749573993482</v>
      </c>
      <c r="C15" s="5">
        <f t="shared" si="0"/>
        <v>4.6604250626577679</v>
      </c>
      <c r="D15" s="5">
        <f t="shared" si="0"/>
        <v>5.6287261030397318</v>
      </c>
      <c r="E15" s="5">
        <f t="shared" si="0"/>
        <v>6.5706313837893431</v>
      </c>
      <c r="F15" s="5">
        <f t="shared" si="0"/>
        <v>7.78953360975237</v>
      </c>
      <c r="G15" s="5">
        <f t="shared" si="0"/>
        <v>21.064144212997057</v>
      </c>
      <c r="H15" s="5">
        <f t="shared" si="0"/>
        <v>23.68479130484058</v>
      </c>
      <c r="I15" s="5">
        <f t="shared" si="0"/>
        <v>26.118948045037371</v>
      </c>
      <c r="J15" s="5">
        <f t="shared" si="0"/>
        <v>29.141237740672796</v>
      </c>
      <c r="K15" s="5">
        <f t="shared" si="0"/>
        <v>31.31934962259529</v>
      </c>
    </row>
    <row r="16" spans="1:11" x14ac:dyDescent="0.3">
      <c r="A16" s="4">
        <v>15</v>
      </c>
      <c r="B16" s="5">
        <f t="shared" si="1"/>
        <v>4.600915571727338</v>
      </c>
      <c r="C16" s="5">
        <f t="shared" si="0"/>
        <v>5.2293488840989664</v>
      </c>
      <c r="D16" s="5">
        <f t="shared" si="0"/>
        <v>6.26213779504325</v>
      </c>
      <c r="E16" s="5">
        <f t="shared" si="0"/>
        <v>7.2609439276700334</v>
      </c>
      <c r="F16" s="5">
        <f t="shared" si="0"/>
        <v>8.5467562417045446</v>
      </c>
      <c r="G16" s="5">
        <f t="shared" si="0"/>
        <v>22.307129581578689</v>
      </c>
      <c r="H16" s="5">
        <f t="shared" si="0"/>
        <v>24.99579013972863</v>
      </c>
      <c r="I16" s="5">
        <f t="shared" si="0"/>
        <v>27.488392863442982</v>
      </c>
      <c r="J16" s="5">
        <f t="shared" si="0"/>
        <v>30.577914166892494</v>
      </c>
      <c r="K16" s="5">
        <f t="shared" si="0"/>
        <v>32.80132064579184</v>
      </c>
    </row>
    <row r="17" spans="1:11" x14ac:dyDescent="0.3">
      <c r="A17" s="4">
        <v>16</v>
      </c>
      <c r="B17" s="5">
        <f t="shared" si="1"/>
        <v>5.1422054430436823</v>
      </c>
      <c r="C17" s="5">
        <f t="shared" si="0"/>
        <v>5.8122124701349733</v>
      </c>
      <c r="D17" s="5">
        <f t="shared" si="0"/>
        <v>6.9076643534970019</v>
      </c>
      <c r="E17" s="5">
        <f t="shared" si="0"/>
        <v>7.9616455723785533</v>
      </c>
      <c r="F17" s="5">
        <f t="shared" si="0"/>
        <v>9.3122363537960045</v>
      </c>
      <c r="G17" s="5">
        <f t="shared" si="0"/>
        <v>23.541828923096112</v>
      </c>
      <c r="H17" s="5">
        <f t="shared" si="0"/>
        <v>26.296227604864239</v>
      </c>
      <c r="I17" s="5">
        <f t="shared" si="0"/>
        <v>28.84535072340476</v>
      </c>
      <c r="J17" s="5">
        <f t="shared" si="0"/>
        <v>31.999926908815183</v>
      </c>
      <c r="K17" s="5">
        <f t="shared" si="0"/>
        <v>34.267186537826703</v>
      </c>
    </row>
    <row r="18" spans="1:11" x14ac:dyDescent="0.3">
      <c r="A18" s="4">
        <v>17</v>
      </c>
      <c r="B18" s="5">
        <f t="shared" si="1"/>
        <v>5.6972171014978219</v>
      </c>
      <c r="C18" s="5">
        <f t="shared" si="1"/>
        <v>6.4077597777389341</v>
      </c>
      <c r="D18" s="5">
        <f t="shared" si="1"/>
        <v>7.5641864495775692</v>
      </c>
      <c r="E18" s="5">
        <f t="shared" si="1"/>
        <v>8.671760204670079</v>
      </c>
      <c r="F18" s="5">
        <f t="shared" si="1"/>
        <v>10.085186334619332</v>
      </c>
      <c r="G18" s="5">
        <f t="shared" si="1"/>
        <v>24.76903534390145</v>
      </c>
      <c r="H18" s="5">
        <f t="shared" si="1"/>
        <v>27.587111638275324</v>
      </c>
      <c r="I18" s="5">
        <f t="shared" si="1"/>
        <v>30.191009121639812</v>
      </c>
      <c r="J18" s="5">
        <f t="shared" si="1"/>
        <v>33.408663605004612</v>
      </c>
      <c r="K18" s="5">
        <f t="shared" si="1"/>
        <v>35.7184656590046</v>
      </c>
    </row>
    <row r="19" spans="1:11" x14ac:dyDescent="0.3">
      <c r="A19" s="4">
        <v>18</v>
      </c>
      <c r="B19" s="5">
        <f t="shared" si="1"/>
        <v>6.2648046845064762</v>
      </c>
      <c r="C19" s="5">
        <f t="shared" si="1"/>
        <v>7.0149109011725761</v>
      </c>
      <c r="D19" s="5">
        <f t="shared" si="1"/>
        <v>8.2307461947566694</v>
      </c>
      <c r="E19" s="5">
        <f t="shared" si="1"/>
        <v>9.3904550806889837</v>
      </c>
      <c r="F19" s="5">
        <f t="shared" si="1"/>
        <v>10.864936116508861</v>
      </c>
      <c r="G19" s="5">
        <f t="shared" si="1"/>
        <v>25.989423082637209</v>
      </c>
      <c r="H19" s="5">
        <f t="shared" si="1"/>
        <v>28.869299430392633</v>
      </c>
      <c r="I19" s="5">
        <f t="shared" si="1"/>
        <v>31.52637844038663</v>
      </c>
      <c r="J19" s="5">
        <f t="shared" si="1"/>
        <v>34.805305734705072</v>
      </c>
      <c r="K19" s="5">
        <f t="shared" si="1"/>
        <v>37.156451456606746</v>
      </c>
    </row>
    <row r="20" spans="1:11" x14ac:dyDescent="0.3">
      <c r="A20" s="4">
        <v>19</v>
      </c>
      <c r="B20" s="5">
        <f t="shared" si="1"/>
        <v>6.8439714454829561</v>
      </c>
      <c r="C20" s="5">
        <f t="shared" si="1"/>
        <v>7.6327296475714759</v>
      </c>
      <c r="D20" s="5">
        <f t="shared" si="1"/>
        <v>8.9065164819879747</v>
      </c>
      <c r="E20" s="5">
        <f t="shared" si="1"/>
        <v>10.117013063859044</v>
      </c>
      <c r="F20" s="5">
        <f t="shared" si="1"/>
        <v>11.650910032126951</v>
      </c>
      <c r="G20" s="5">
        <f t="shared" si="1"/>
        <v>27.203571029356826</v>
      </c>
      <c r="H20" s="5">
        <f t="shared" si="1"/>
        <v>30.143527205646155</v>
      </c>
      <c r="I20" s="5">
        <f t="shared" si="1"/>
        <v>32.852326861729708</v>
      </c>
      <c r="J20" s="5">
        <f t="shared" si="1"/>
        <v>36.190869129270048</v>
      </c>
      <c r="K20" s="5">
        <f t="shared" si="1"/>
        <v>38.58225655493424</v>
      </c>
    </row>
    <row r="21" spans="1:11" x14ac:dyDescent="0.3">
      <c r="A21" s="4">
        <v>20</v>
      </c>
      <c r="B21" s="5">
        <f t="shared" si="1"/>
        <v>7.4338442629342358</v>
      </c>
      <c r="C21" s="5">
        <f t="shared" si="1"/>
        <v>8.2603983325464014</v>
      </c>
      <c r="D21" s="5">
        <f t="shared" si="1"/>
        <v>9.5907773922648669</v>
      </c>
      <c r="E21" s="5">
        <f t="shared" si="1"/>
        <v>10.850811394182585</v>
      </c>
      <c r="F21" s="5">
        <f t="shared" si="1"/>
        <v>12.442609210450065</v>
      </c>
      <c r="G21" s="5">
        <f t="shared" si="1"/>
        <v>28.411980584305635</v>
      </c>
      <c r="H21" s="5">
        <f t="shared" si="1"/>
        <v>31.410432844230925</v>
      </c>
      <c r="I21" s="5">
        <f t="shared" si="1"/>
        <v>34.169606902838339</v>
      </c>
      <c r="J21" s="5">
        <f t="shared" si="1"/>
        <v>37.566234786625053</v>
      </c>
      <c r="K21" s="5">
        <f t="shared" si="1"/>
        <v>39.996846312938644</v>
      </c>
    </row>
    <row r="22" spans="1:11" x14ac:dyDescent="0.3">
      <c r="A22" s="4">
        <v>21</v>
      </c>
      <c r="B22" s="5">
        <f t="shared" si="1"/>
        <v>8.033653420232735</v>
      </c>
      <c r="C22" s="5">
        <f t="shared" si="1"/>
        <v>8.89719794207722</v>
      </c>
      <c r="D22" s="5">
        <f t="shared" si="1"/>
        <v>10.282897782522859</v>
      </c>
      <c r="E22" s="5">
        <f t="shared" si="1"/>
        <v>11.591305208820739</v>
      </c>
      <c r="F22" s="5">
        <f t="shared" si="1"/>
        <v>13.239597975395306</v>
      </c>
      <c r="G22" s="5">
        <f t="shared" si="1"/>
        <v>29.615089436182725</v>
      </c>
      <c r="H22" s="5">
        <f t="shared" si="1"/>
        <v>32.670573340917308</v>
      </c>
      <c r="I22" s="5">
        <f t="shared" si="1"/>
        <v>35.478875905727257</v>
      </c>
      <c r="J22" s="5">
        <f t="shared" si="1"/>
        <v>38.932172683516065</v>
      </c>
      <c r="K22" s="5">
        <f t="shared" si="1"/>
        <v>41.401064771417609</v>
      </c>
    </row>
    <row r="23" spans="1:11" x14ac:dyDescent="0.3">
      <c r="A23" s="4">
        <v>22</v>
      </c>
      <c r="B23" s="5">
        <f t="shared" ref="B23:K47" si="2">_xlfn.CHISQ.INV.RT(B$1,$A23)</f>
        <v>8.6427164006664015</v>
      </c>
      <c r="C23" s="5">
        <f t="shared" si="2"/>
        <v>9.5424923387850811</v>
      </c>
      <c r="D23" s="5">
        <f t="shared" si="2"/>
        <v>10.982320734473676</v>
      </c>
      <c r="E23" s="5">
        <f t="shared" si="2"/>
        <v>12.338014578790647</v>
      </c>
      <c r="F23" s="5">
        <f t="shared" si="2"/>
        <v>14.041493189421969</v>
      </c>
      <c r="G23" s="5">
        <f t="shared" si="2"/>
        <v>30.813282343953034</v>
      </c>
      <c r="H23" s="5">
        <f t="shared" si="2"/>
        <v>33.9244384714438</v>
      </c>
      <c r="I23" s="5">
        <f t="shared" si="2"/>
        <v>36.780712084035557</v>
      </c>
      <c r="J23" s="5">
        <f t="shared" si="2"/>
        <v>40.289360437593864</v>
      </c>
      <c r="K23" s="5">
        <f t="shared" si="2"/>
        <v>42.795654999308539</v>
      </c>
    </row>
    <row r="24" spans="1:11" x14ac:dyDescent="0.3">
      <c r="A24" s="4">
        <v>23</v>
      </c>
      <c r="B24" s="5">
        <f t="shared" si="2"/>
        <v>9.2604247758087546</v>
      </c>
      <c r="C24" s="5">
        <f t="shared" si="2"/>
        <v>10.195715555745821</v>
      </c>
      <c r="D24" s="5">
        <f t="shared" si="2"/>
        <v>11.688551922452435</v>
      </c>
      <c r="E24" s="5">
        <f t="shared" si="2"/>
        <v>13.090514188172801</v>
      </c>
      <c r="F24" s="5">
        <f t="shared" si="2"/>
        <v>14.847955799267668</v>
      </c>
      <c r="G24" s="5">
        <f t="shared" si="2"/>
        <v>32.006899681704304</v>
      </c>
      <c r="H24" s="5">
        <f t="shared" si="2"/>
        <v>35.172461626908053</v>
      </c>
      <c r="I24" s="5">
        <f t="shared" si="2"/>
        <v>38.075627250355801</v>
      </c>
      <c r="J24" s="5">
        <f t="shared" si="2"/>
        <v>41.638398118858476</v>
      </c>
      <c r="K24" s="5">
        <f t="shared" si="2"/>
        <v>44.181275249971101</v>
      </c>
    </row>
    <row r="25" spans="1:11" x14ac:dyDescent="0.3">
      <c r="A25" s="4">
        <v>24</v>
      </c>
      <c r="B25" s="5">
        <f t="shared" si="2"/>
        <v>9.8862335022414651</v>
      </c>
      <c r="C25" s="5">
        <f t="shared" si="2"/>
        <v>10.856361475532282</v>
      </c>
      <c r="D25" s="5">
        <f t="shared" si="2"/>
        <v>12.401150217444435</v>
      </c>
      <c r="E25" s="5">
        <f t="shared" si="2"/>
        <v>13.848425027170213</v>
      </c>
      <c r="F25" s="5">
        <f t="shared" si="2"/>
        <v>15.658684052512825</v>
      </c>
      <c r="G25" s="5">
        <f t="shared" si="2"/>
        <v>33.196244288628179</v>
      </c>
      <c r="H25" s="5">
        <f t="shared" si="2"/>
        <v>36.415028501807313</v>
      </c>
      <c r="I25" s="5">
        <f t="shared" si="2"/>
        <v>39.364077026603915</v>
      </c>
      <c r="J25" s="5">
        <f t="shared" si="2"/>
        <v>42.979820139351638</v>
      </c>
      <c r="K25" s="5">
        <f t="shared" si="2"/>
        <v>45.558511936530586</v>
      </c>
    </row>
    <row r="26" spans="1:11" x14ac:dyDescent="0.3">
      <c r="A26" s="4">
        <v>25</v>
      </c>
      <c r="B26" s="5">
        <f t="shared" si="2"/>
        <v>10.519652112024698</v>
      </c>
      <c r="C26" s="5">
        <f t="shared" si="2"/>
        <v>11.52397537224933</v>
      </c>
      <c r="D26" s="5">
        <f t="shared" si="2"/>
        <v>13.119720024937791</v>
      </c>
      <c r="E26" s="5">
        <f t="shared" si="2"/>
        <v>14.611407639483309</v>
      </c>
      <c r="F26" s="5">
        <f t="shared" si="2"/>
        <v>16.47340799867338</v>
      </c>
      <c r="G26" s="5">
        <f t="shared" si="2"/>
        <v>34.381587017552953</v>
      </c>
      <c r="H26" s="5">
        <f t="shared" si="2"/>
        <v>37.65248413348278</v>
      </c>
      <c r="I26" s="5">
        <f t="shared" si="2"/>
        <v>40.646469120275199</v>
      </c>
      <c r="J26" s="5">
        <f t="shared" si="2"/>
        <v>44.314104896219156</v>
      </c>
      <c r="K26" s="5">
        <f t="shared" si="2"/>
        <v>46.92789016008075</v>
      </c>
    </row>
    <row r="27" spans="1:11" x14ac:dyDescent="0.3">
      <c r="A27" s="4">
        <v>26</v>
      </c>
      <c r="B27" s="5">
        <f t="shared" si="2"/>
        <v>11.160237406164143</v>
      </c>
      <c r="C27" s="5">
        <f t="shared" si="2"/>
        <v>12.198146923505595</v>
      </c>
      <c r="D27" s="5">
        <f t="shared" si="2"/>
        <v>13.843904982007606</v>
      </c>
      <c r="E27" s="5">
        <f t="shared" si="2"/>
        <v>15.379156583261738</v>
      </c>
      <c r="F27" s="5">
        <f t="shared" si="2"/>
        <v>17.291884989738758</v>
      </c>
      <c r="G27" s="5">
        <f t="shared" si="2"/>
        <v>35.563171271923459</v>
      </c>
      <c r="H27" s="5">
        <f t="shared" si="2"/>
        <v>38.885138659830041</v>
      </c>
      <c r="I27" s="5">
        <f t="shared" si="2"/>
        <v>41.923170096353914</v>
      </c>
      <c r="J27" s="5">
        <f t="shared" si="2"/>
        <v>45.641682666283153</v>
      </c>
      <c r="K27" s="5">
        <f t="shared" si="2"/>
        <v>48.289882332456834</v>
      </c>
    </row>
    <row r="28" spans="1:11" x14ac:dyDescent="0.3">
      <c r="A28" s="4">
        <v>27</v>
      </c>
      <c r="B28" s="5">
        <f t="shared" si="2"/>
        <v>11.807587351366138</v>
      </c>
      <c r="C28" s="5">
        <f t="shared" si="2"/>
        <v>12.878504393144546</v>
      </c>
      <c r="D28" s="5">
        <f t="shared" si="2"/>
        <v>14.573382730821709</v>
      </c>
      <c r="E28" s="5">
        <f t="shared" si="2"/>
        <v>16.151395849664109</v>
      </c>
      <c r="F28" s="5">
        <f t="shared" si="2"/>
        <v>18.113895966895981</v>
      </c>
      <c r="G28" s="5">
        <f t="shared" si="2"/>
        <v>36.741216747797637</v>
      </c>
      <c r="H28" s="5">
        <f t="shared" si="2"/>
        <v>40.113272069413625</v>
      </c>
      <c r="I28" s="5">
        <f t="shared" si="2"/>
        <v>43.194510966156031</v>
      </c>
      <c r="J28" s="5">
        <f t="shared" si="2"/>
        <v>46.962942124751443</v>
      </c>
      <c r="K28" s="5">
        <f t="shared" si="2"/>
        <v>49.644915298994228</v>
      </c>
    </row>
    <row r="29" spans="1:11" x14ac:dyDescent="0.3">
      <c r="A29" s="4">
        <v>28</v>
      </c>
      <c r="B29" s="5">
        <f t="shared" si="2"/>
        <v>12.46133594800256</v>
      </c>
      <c r="C29" s="5">
        <f t="shared" si="2"/>
        <v>13.564709754618823</v>
      </c>
      <c r="D29" s="5">
        <f t="shared" si="2"/>
        <v>15.307860552601202</v>
      </c>
      <c r="E29" s="5">
        <f t="shared" si="2"/>
        <v>16.927875044422496</v>
      </c>
      <c r="F29" s="5">
        <f t="shared" si="2"/>
        <v>18.939242371917501</v>
      </c>
      <c r="G29" s="5">
        <f t="shared" si="2"/>
        <v>37.915922544697068</v>
      </c>
      <c r="H29" s="5">
        <f t="shared" si="2"/>
        <v>41.337138151427396</v>
      </c>
      <c r="I29" s="5">
        <f t="shared" si="2"/>
        <v>44.460791836317753</v>
      </c>
      <c r="J29" s="5">
        <f t="shared" si="2"/>
        <v>48.27823577031549</v>
      </c>
      <c r="K29" s="5">
        <f t="shared" si="2"/>
        <v>50.993376268499453</v>
      </c>
    </row>
    <row r="30" spans="1:11" x14ac:dyDescent="0.3">
      <c r="A30" s="4">
        <v>29</v>
      </c>
      <c r="B30" s="5">
        <f t="shared" si="2"/>
        <v>13.121148887960382</v>
      </c>
      <c r="C30" s="5">
        <f t="shared" si="2"/>
        <v>14.256454576274677</v>
      </c>
      <c r="D30" s="5">
        <f t="shared" si="2"/>
        <v>16.047071695364892</v>
      </c>
      <c r="E30" s="5">
        <f t="shared" si="2"/>
        <v>17.708366182824584</v>
      </c>
      <c r="F30" s="5">
        <f t="shared" si="2"/>
        <v>19.767743559474834</v>
      </c>
      <c r="G30" s="5">
        <f t="shared" si="2"/>
        <v>39.087469770693957</v>
      </c>
      <c r="H30" s="5">
        <f t="shared" si="2"/>
        <v>42.556967804292682</v>
      </c>
      <c r="I30" s="5">
        <f t="shared" si="2"/>
        <v>45.722285804174533</v>
      </c>
      <c r="J30" s="5">
        <f t="shared" si="2"/>
        <v>49.587884472898835</v>
      </c>
      <c r="K30" s="5">
        <f t="shared" si="2"/>
        <v>52.335617785933614</v>
      </c>
    </row>
    <row r="31" spans="1:11" x14ac:dyDescent="0.3">
      <c r="A31" s="4">
        <v>30</v>
      </c>
      <c r="B31" s="5">
        <f t="shared" si="2"/>
        <v>13.786719859502711</v>
      </c>
      <c r="C31" s="5">
        <f t="shared" si="2"/>
        <v>14.953456528455439</v>
      </c>
      <c r="D31" s="5">
        <f t="shared" si="2"/>
        <v>16.790772265566623</v>
      </c>
      <c r="E31" s="5">
        <f t="shared" si="2"/>
        <v>18.492660981953474</v>
      </c>
      <c r="F31" s="5">
        <f t="shared" si="2"/>
        <v>20.599234614585342</v>
      </c>
      <c r="G31" s="5">
        <f t="shared" si="2"/>
        <v>40.256023738711804</v>
      </c>
      <c r="H31" s="5">
        <f t="shared" si="2"/>
        <v>43.772971825742189</v>
      </c>
      <c r="I31" s="5">
        <f t="shared" si="2"/>
        <v>46.979242243671159</v>
      </c>
      <c r="J31" s="5">
        <f t="shared" si="2"/>
        <v>50.892181311517092</v>
      </c>
      <c r="K31" s="5">
        <f t="shared" si="2"/>
        <v>53.671961930240592</v>
      </c>
    </row>
    <row r="32" spans="1:11" x14ac:dyDescent="0.3">
      <c r="A32" s="4">
        <v>31</v>
      </c>
      <c r="B32" s="5">
        <f t="shared" si="2"/>
        <v>14.457767385668999</v>
      </c>
      <c r="C32" s="5">
        <f t="shared" si="2"/>
        <v>15.655456401681386</v>
      </c>
      <c r="D32" s="5">
        <f t="shared" si="2"/>
        <v>17.538738581475492</v>
      </c>
      <c r="E32" s="5">
        <f t="shared" si="2"/>
        <v>19.280568559129293</v>
      </c>
      <c r="F32" s="5">
        <f t="shared" si="2"/>
        <v>21.433564500310776</v>
      </c>
      <c r="G32" s="5">
        <f t="shared" si="2"/>
        <v>41.42173582978522</v>
      </c>
      <c r="H32" s="5">
        <f t="shared" si="2"/>
        <v>44.985343280365143</v>
      </c>
      <c r="I32" s="5">
        <f t="shared" si="2"/>
        <v>48.231889594451957</v>
      </c>
      <c r="J32" s="5">
        <f t="shared" si="2"/>
        <v>52.191394833191929</v>
      </c>
      <c r="K32" s="5">
        <f t="shared" si="2"/>
        <v>55.002703880023894</v>
      </c>
    </row>
    <row r="33" spans="1:11" x14ac:dyDescent="0.3">
      <c r="A33" s="4">
        <v>32</v>
      </c>
      <c r="B33" s="5">
        <f t="shared" si="2"/>
        <v>15.134032105415708</v>
      </c>
      <c r="C33" s="5">
        <f t="shared" si="2"/>
        <v>16.362215547665794</v>
      </c>
      <c r="D33" s="5">
        <f t="shared" si="2"/>
        <v>18.290764907283055</v>
      </c>
      <c r="E33" s="5">
        <f t="shared" si="2"/>
        <v>20.071913464548285</v>
      </c>
      <c r="F33" s="5">
        <f t="shared" si="2"/>
        <v>22.270594476644238</v>
      </c>
      <c r="G33" s="5">
        <f t="shared" si="2"/>
        <v>42.584745082980838</v>
      </c>
      <c r="H33" s="5">
        <f t="shared" si="2"/>
        <v>46.194259520278472</v>
      </c>
      <c r="I33" s="5">
        <f t="shared" si="2"/>
        <v>49.480437742971688</v>
      </c>
      <c r="J33" s="5">
        <f t="shared" si="2"/>
        <v>53.485771836235365</v>
      </c>
      <c r="K33" s="5">
        <f t="shared" si="2"/>
        <v>56.328114959710902</v>
      </c>
    </row>
    <row r="34" spans="1:11" x14ac:dyDescent="0.3">
      <c r="A34" s="4">
        <v>33</v>
      </c>
      <c r="B34" s="5">
        <f t="shared" si="2"/>
        <v>15.815274424327857</v>
      </c>
      <c r="C34" s="5">
        <f t="shared" si="2"/>
        <v>17.073513672329383</v>
      </c>
      <c r="D34" s="5">
        <f t="shared" si="2"/>
        <v>19.046661503175116</v>
      </c>
      <c r="E34" s="5">
        <f t="shared" si="2"/>
        <v>20.866533990714789</v>
      </c>
      <c r="F34" s="5">
        <f t="shared" si="2"/>
        <v>23.110196743607261</v>
      </c>
      <c r="G34" s="5">
        <f t="shared" si="2"/>
        <v>43.745179559434185</v>
      </c>
      <c r="H34" s="5">
        <f t="shared" si="2"/>
        <v>47.399883919080914</v>
      </c>
      <c r="I34" s="5">
        <f t="shared" si="2"/>
        <v>50.725080066281237</v>
      </c>
      <c r="J34" s="5">
        <f t="shared" si="2"/>
        <v>54.775539760110341</v>
      </c>
      <c r="K34" s="5">
        <f t="shared" si="2"/>
        <v>57.648445255858547</v>
      </c>
    </row>
    <row r="35" spans="1:11" x14ac:dyDescent="0.3">
      <c r="A35" s="4">
        <v>34</v>
      </c>
      <c r="B35" s="5">
        <f t="shared" si="2"/>
        <v>16.501272475544379</v>
      </c>
      <c r="C35" s="5">
        <f t="shared" si="2"/>
        <v>17.789146923546873</v>
      </c>
      <c r="D35" s="5">
        <f t="shared" si="2"/>
        <v>19.806252939214577</v>
      </c>
      <c r="E35" s="5">
        <f t="shared" si="2"/>
        <v>21.664280712551975</v>
      </c>
      <c r="F35" s="5">
        <f t="shared" si="2"/>
        <v>23.952253270899316</v>
      </c>
      <c r="G35" s="5">
        <f t="shared" si="2"/>
        <v>44.90315751851994</v>
      </c>
      <c r="H35" s="5">
        <f t="shared" si="2"/>
        <v>48.602367367294192</v>
      </c>
      <c r="I35" s="5">
        <f t="shared" si="2"/>
        <v>51.965995195121906</v>
      </c>
      <c r="J35" s="5">
        <f t="shared" si="2"/>
        <v>56.060908747789078</v>
      </c>
      <c r="K35" s="5">
        <f t="shared" si="2"/>
        <v>58.963925875519394</v>
      </c>
    </row>
    <row r="36" spans="1:11" x14ac:dyDescent="0.3">
      <c r="A36" s="4">
        <v>35</v>
      </c>
      <c r="B36" s="5">
        <f t="shared" si="2"/>
        <v>17.191820342443918</v>
      </c>
      <c r="C36" s="5">
        <f t="shared" si="2"/>
        <v>18.508926227024915</v>
      </c>
      <c r="D36" s="5">
        <f t="shared" si="2"/>
        <v>20.569376630744966</v>
      </c>
      <c r="E36" s="5">
        <f t="shared" si="2"/>
        <v>22.465015220882691</v>
      </c>
      <c r="F36" s="5">
        <f t="shared" si="2"/>
        <v>24.796654783692496</v>
      </c>
      <c r="G36" s="5">
        <f t="shared" si="2"/>
        <v>46.058788436836693</v>
      </c>
      <c r="H36" s="5">
        <f t="shared" si="2"/>
        <v>49.801849568201867</v>
      </c>
      <c r="I36" s="5">
        <f t="shared" si="2"/>
        <v>53.203348542056496</v>
      </c>
      <c r="J36" s="5">
        <f t="shared" si="2"/>
        <v>57.342073433859248</v>
      </c>
      <c r="K36" s="5">
        <f t="shared" si="2"/>
        <v>60.274770904781043</v>
      </c>
    </row>
    <row r="37" spans="1:11" x14ac:dyDescent="0.3">
      <c r="A37" s="4">
        <v>36</v>
      </c>
      <c r="B37" s="5">
        <f t="shared" si="2"/>
        <v>17.886726503300213</v>
      </c>
      <c r="C37" s="5">
        <f t="shared" si="2"/>
        <v>19.232675832154079</v>
      </c>
      <c r="D37" s="5">
        <f t="shared" si="2"/>
        <v>21.335881560799049</v>
      </c>
      <c r="E37" s="5">
        <f t="shared" si="2"/>
        <v>23.268609018893766</v>
      </c>
      <c r="F37" s="5">
        <f t="shared" si="2"/>
        <v>25.643299879851067</v>
      </c>
      <c r="G37" s="5">
        <f t="shared" si="2"/>
        <v>47.212173894937365</v>
      </c>
      <c r="H37" s="5">
        <f t="shared" si="2"/>
        <v>50.998460165710647</v>
      </c>
      <c r="I37" s="5">
        <f t="shared" si="2"/>
        <v>54.437293631813226</v>
      </c>
      <c r="J37" s="5">
        <f t="shared" si="2"/>
        <v>58.619214501687054</v>
      </c>
      <c r="K37" s="5">
        <f t="shared" si="2"/>
        <v>61.581179114757255</v>
      </c>
    </row>
    <row r="38" spans="1:11" x14ac:dyDescent="0.3">
      <c r="A38" s="4">
        <v>37</v>
      </c>
      <c r="B38" s="5">
        <f t="shared" si="2"/>
        <v>18.585812465049642</v>
      </c>
      <c r="C38" s="5">
        <f t="shared" si="2"/>
        <v>19.960232036407149</v>
      </c>
      <c r="D38" s="5">
        <f t="shared" si="2"/>
        <v>22.105627161169512</v>
      </c>
      <c r="E38" s="5">
        <f t="shared" si="2"/>
        <v>24.074942556679911</v>
      </c>
      <c r="F38" s="5">
        <f t="shared" si="2"/>
        <v>26.492094258349855</v>
      </c>
      <c r="G38" s="5">
        <f t="shared" si="2"/>
        <v>48.363408352194327</v>
      </c>
      <c r="H38" s="5">
        <f t="shared" si="2"/>
        <v>52.192319730102881</v>
      </c>
      <c r="I38" s="5">
        <f t="shared" si="2"/>
        <v>55.667973264261093</v>
      </c>
      <c r="J38" s="5">
        <f t="shared" si="2"/>
        <v>59.892500045086891</v>
      </c>
      <c r="K38" s="5">
        <f t="shared" si="2"/>
        <v>62.883335453741161</v>
      </c>
    </row>
    <row r="39" spans="1:11" x14ac:dyDescent="0.3">
      <c r="A39" s="4">
        <v>38</v>
      </c>
      <c r="B39" s="5">
        <f t="shared" si="2"/>
        <v>19.288911558890987</v>
      </c>
      <c r="C39" s="5">
        <f t="shared" si="2"/>
        <v>20.691442062257167</v>
      </c>
      <c r="D39" s="5">
        <f t="shared" si="2"/>
        <v>22.878482328733465</v>
      </c>
      <c r="E39" s="5">
        <f t="shared" si="2"/>
        <v>24.883904383335626</v>
      </c>
      <c r="F39" s="5">
        <f t="shared" si="2"/>
        <v>27.342950042242862</v>
      </c>
      <c r="G39" s="5">
        <f t="shared" si="2"/>
        <v>49.512579826575561</v>
      </c>
      <c r="H39" s="5">
        <f t="shared" si="2"/>
        <v>53.383540622969299</v>
      </c>
      <c r="I39" s="5">
        <f t="shared" si="2"/>
        <v>56.895520535055979</v>
      </c>
      <c r="J39" s="5">
        <f t="shared" si="2"/>
        <v>61.162086763689686</v>
      </c>
      <c r="K39" s="5">
        <f t="shared" si="2"/>
        <v>64.181412357406217</v>
      </c>
    </row>
    <row r="40" spans="1:11" x14ac:dyDescent="0.3">
      <c r="A40" s="4">
        <v>39</v>
      </c>
      <c r="B40" s="5">
        <f t="shared" si="2"/>
        <v>19.995867874956335</v>
      </c>
      <c r="C40" s="5">
        <f t="shared" si="2"/>
        <v>21.426163064945921</v>
      </c>
      <c r="D40" s="5">
        <f t="shared" si="2"/>
        <v>23.654324557593021</v>
      </c>
      <c r="E40" s="5">
        <f t="shared" si="2"/>
        <v>25.695390399574777</v>
      </c>
      <c r="F40" s="5">
        <f t="shared" si="2"/>
        <v>28.195785182400428</v>
      </c>
      <c r="G40" s="5">
        <f t="shared" si="2"/>
        <v>50.65977049321372</v>
      </c>
      <c r="H40" s="5">
        <f t="shared" si="2"/>
        <v>54.572227758941729</v>
      </c>
      <c r="I40" s="5">
        <f t="shared" si="2"/>
        <v>58.120059734686265</v>
      </c>
      <c r="J40" s="5">
        <f t="shared" si="2"/>
        <v>62.428121016184896</v>
      </c>
      <c r="K40" s="5">
        <f t="shared" si="2"/>
        <v>65.475570903468011</v>
      </c>
    </row>
    <row r="41" spans="1:11" x14ac:dyDescent="0.3">
      <c r="A41" s="4">
        <v>40</v>
      </c>
      <c r="B41" s="5">
        <f t="shared" si="2"/>
        <v>20.706535316970083</v>
      </c>
      <c r="C41" s="5">
        <f t="shared" si="2"/>
        <v>22.164261252975162</v>
      </c>
      <c r="D41" s="5">
        <f t="shared" si="2"/>
        <v>24.433039170807891</v>
      </c>
      <c r="E41" s="5">
        <f t="shared" si="2"/>
        <v>26.509303196693111</v>
      </c>
      <c r="F41" s="5">
        <f t="shared" si="2"/>
        <v>29.050522930545512</v>
      </c>
      <c r="G41" s="5">
        <f t="shared" si="2"/>
        <v>51.805057213317518</v>
      </c>
      <c r="H41" s="5">
        <f t="shared" si="2"/>
        <v>55.75847927888703</v>
      </c>
      <c r="I41" s="5">
        <f t="shared" si="2"/>
        <v>59.341707143171199</v>
      </c>
      <c r="J41" s="5">
        <f t="shared" si="2"/>
        <v>63.690739751564458</v>
      </c>
      <c r="K41" s="5">
        <f t="shared" si="2"/>
        <v>66.765961832803924</v>
      </c>
    </row>
    <row r="42" spans="1:11" x14ac:dyDescent="0.3">
      <c r="A42" s="4">
        <v>41</v>
      </c>
      <c r="B42" s="5">
        <f t="shared" si="2"/>
        <v>21.420776760823482</v>
      </c>
      <c r="C42" s="5">
        <f t="shared" si="2"/>
        <v>22.905611106081146</v>
      </c>
      <c r="D42" s="5">
        <f t="shared" si="2"/>
        <v>25.214518638112516</v>
      </c>
      <c r="E42" s="5">
        <f t="shared" si="2"/>
        <v>27.325551469994188</v>
      </c>
      <c r="F42" s="5">
        <f t="shared" si="2"/>
        <v>29.907091371995278</v>
      </c>
      <c r="G42" s="5">
        <f t="shared" si="2"/>
        <v>52.94851200308203</v>
      </c>
      <c r="H42" s="5">
        <f t="shared" si="2"/>
        <v>56.942387146824103</v>
      </c>
      <c r="I42" s="5">
        <f t="shared" si="2"/>
        <v>60.560571734843755</v>
      </c>
      <c r="J42" s="5">
        <f t="shared" si="2"/>
        <v>64.950071335211177</v>
      </c>
      <c r="K42" s="5">
        <f t="shared" si="2"/>
        <v>68.052726455441601</v>
      </c>
    </row>
    <row r="43" spans="1:11" x14ac:dyDescent="0.3">
      <c r="A43" s="4">
        <v>42</v>
      </c>
      <c r="B43" s="5">
        <f t="shared" si="2"/>
        <v>22.138463303470573</v>
      </c>
      <c r="C43" s="5">
        <f t="shared" si="2"/>
        <v>23.650094677826193</v>
      </c>
      <c r="D43" s="5">
        <f t="shared" si="2"/>
        <v>25.998661968152376</v>
      </c>
      <c r="E43" s="5">
        <f t="shared" si="2"/>
        <v>28.144049496682634</v>
      </c>
      <c r="F43" s="5">
        <f t="shared" si="2"/>
        <v>30.765423010045325</v>
      </c>
      <c r="G43" s="5">
        <f t="shared" si="2"/>
        <v>54.090202450712404</v>
      </c>
      <c r="H43" s="5">
        <f t="shared" si="2"/>
        <v>58.124037680868028</v>
      </c>
      <c r="I43" s="5">
        <f t="shared" si="2"/>
        <v>61.776755805349204</v>
      </c>
      <c r="J43" s="5">
        <f t="shared" si="2"/>
        <v>66.206236283993249</v>
      </c>
      <c r="K43" s="5">
        <f t="shared" si="2"/>
        <v>69.335997456900401</v>
      </c>
    </row>
    <row r="44" spans="1:11" x14ac:dyDescent="0.3">
      <c r="A44" s="4">
        <v>43</v>
      </c>
      <c r="B44" s="5">
        <f t="shared" si="2"/>
        <v>22.859473590598505</v>
      </c>
      <c r="C44" s="5">
        <f t="shared" si="2"/>
        <v>24.397600971897468</v>
      </c>
      <c r="D44" s="5">
        <f t="shared" si="2"/>
        <v>26.785374165536322</v>
      </c>
      <c r="E44" s="5">
        <f t="shared" si="2"/>
        <v>28.964716669775697</v>
      </c>
      <c r="F44" s="5">
        <f t="shared" si="2"/>
        <v>31.625454395189042</v>
      </c>
      <c r="G44" s="5">
        <f t="shared" si="2"/>
        <v>55.230192088408906</v>
      </c>
      <c r="H44" s="5">
        <f t="shared" si="2"/>
        <v>59.303512026899817</v>
      </c>
      <c r="I44" s="5">
        <f t="shared" si="2"/>
        <v>62.990355531101983</v>
      </c>
      <c r="J44" s="5">
        <f t="shared" si="2"/>
        <v>67.459347922325833</v>
      </c>
      <c r="K44" s="5">
        <f t="shared" si="2"/>
        <v>70.615899617966363</v>
      </c>
    </row>
    <row r="45" spans="1:11" x14ac:dyDescent="0.3">
      <c r="A45" s="4">
        <v>44</v>
      </c>
      <c r="B45" s="5">
        <f t="shared" si="2"/>
        <v>23.583693213226709</v>
      </c>
      <c r="C45" s="5">
        <f t="shared" si="2"/>
        <v>25.148025382824489</v>
      </c>
      <c r="D45" s="5">
        <f t="shared" si="2"/>
        <v>27.574565744459225</v>
      </c>
      <c r="E45" s="5">
        <f t="shared" si="2"/>
        <v>29.787477080861958</v>
      </c>
      <c r="F45" s="5">
        <f t="shared" si="2"/>
        <v>32.487125793400523</v>
      </c>
      <c r="G45" s="5">
        <f t="shared" si="2"/>
        <v>56.368540725118756</v>
      </c>
      <c r="H45" s="5">
        <f t="shared" si="2"/>
        <v>60.480886582336453</v>
      </c>
      <c r="I45" s="5">
        <f t="shared" si="2"/>
        <v>64.20146146988678</v>
      </c>
      <c r="J45" s="5">
        <f t="shared" si="2"/>
        <v>68.709512969345397</v>
      </c>
      <c r="K45" s="5">
        <f t="shared" si="2"/>
        <v>71.892550458999153</v>
      </c>
    </row>
    <row r="46" spans="1:11" x14ac:dyDescent="0.3">
      <c r="A46" s="4">
        <v>45</v>
      </c>
      <c r="B46" s="5">
        <f t="shared" si="2"/>
        <v>24.311014164807947</v>
      </c>
      <c r="C46" s="5">
        <f t="shared" si="2"/>
        <v>25.901269193178042</v>
      </c>
      <c r="D46" s="5">
        <f t="shared" si="2"/>
        <v>28.366152291859848</v>
      </c>
      <c r="E46" s="5">
        <f t="shared" si="2"/>
        <v>30.612259145595473</v>
      </c>
      <c r="F46" s="5">
        <f t="shared" si="2"/>
        <v>33.350380888566818</v>
      </c>
      <c r="G46" s="5">
        <f t="shared" si="2"/>
        <v>57.505304744995989</v>
      </c>
      <c r="H46" s="5">
        <f t="shared" si="2"/>
        <v>61.656233376279566</v>
      </c>
      <c r="I46" s="5">
        <f t="shared" si="2"/>
        <v>65.410159009999589</v>
      </c>
      <c r="J46" s="5">
        <f t="shared" si="2"/>
        <v>69.956832065838213</v>
      </c>
      <c r="K46" s="5">
        <f t="shared" si="2"/>
        <v>73.166060818225048</v>
      </c>
    </row>
    <row r="47" spans="1:11" x14ac:dyDescent="0.3">
      <c r="A47" s="4">
        <v>46</v>
      </c>
      <c r="B47" s="5">
        <f t="shared" si="2"/>
        <v>25.041334351592937</v>
      </c>
      <c r="C47" s="5">
        <f t="shared" si="2"/>
        <v>26.657239120440895</v>
      </c>
      <c r="D47" s="5">
        <f t="shared" si="2"/>
        <v>29.160054074089356</v>
      </c>
      <c r="E47" s="5">
        <f t="shared" si="2"/>
        <v>31.438995266697056</v>
      </c>
      <c r="F47" s="5">
        <f t="shared" si="2"/>
        <v>34.215166514869836</v>
      </c>
      <c r="G47" s="5">
        <f t="shared" si="2"/>
        <v>58.640537375791716</v>
      </c>
      <c r="H47" s="5">
        <f t="shared" si="2"/>
        <v>62.829620411408179</v>
      </c>
      <c r="I47" s="5">
        <f t="shared" si="2"/>
        <v>66.616528774250483</v>
      </c>
      <c r="J47" s="5">
        <f t="shared" si="2"/>
        <v>71.201400248311543</v>
      </c>
      <c r="K47" s="5">
        <f t="shared" si="2"/>
        <v>74.436535372101702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4864-E9FF-4F64-A361-6B936B3F277B}">
  <dimension ref="A1:K22"/>
  <sheetViews>
    <sheetView tabSelected="1" topLeftCell="A16" workbookViewId="0">
      <selection activeCell="O9" sqref="O9"/>
    </sheetView>
  </sheetViews>
  <sheetFormatPr defaultRowHeight="14" x14ac:dyDescent="0.3"/>
  <cols>
    <col min="1" max="1" width="8.6640625" style="3"/>
    <col min="11" max="11" width="9.83203125" customWidth="1"/>
  </cols>
  <sheetData>
    <row r="1" spans="1:11" x14ac:dyDescent="0.3">
      <c r="A1" s="9" t="s">
        <v>0</v>
      </c>
      <c r="B1" s="9">
        <v>0.05</v>
      </c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x14ac:dyDescent="0.3">
      <c r="A2" s="4" t="s">
        <v>2</v>
      </c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</row>
    <row r="3" spans="1:11" x14ac:dyDescent="0.3">
      <c r="A3" s="4">
        <v>1</v>
      </c>
      <c r="B3" s="1">
        <f>_xlfn.F.INV.RT($B$1,B$2,$A3)</f>
        <v>161.44763879758855</v>
      </c>
      <c r="C3" s="1">
        <f t="shared" ref="C3:K18" si="0">_xlfn.F.INV.RT($B$1,C$2,$A3)</f>
        <v>199.49999999999994</v>
      </c>
      <c r="D3" s="1">
        <f t="shared" si="0"/>
        <v>215.70734536960902</v>
      </c>
      <c r="E3" s="1">
        <f t="shared" si="0"/>
        <v>224.58324062625078</v>
      </c>
      <c r="F3" s="1">
        <f t="shared" si="0"/>
        <v>230.16187811010678</v>
      </c>
      <c r="G3" s="1">
        <f t="shared" si="0"/>
        <v>233.98600035626617</v>
      </c>
      <c r="H3" s="1">
        <f t="shared" si="0"/>
        <v>236.76840027699524</v>
      </c>
      <c r="I3" s="1">
        <f t="shared" si="0"/>
        <v>238.88269480252418</v>
      </c>
      <c r="J3" s="1">
        <f t="shared" si="0"/>
        <v>240.5432547132632</v>
      </c>
      <c r="K3" s="1">
        <f t="shared" si="0"/>
        <v>241.88174725083331</v>
      </c>
    </row>
    <row r="4" spans="1:11" x14ac:dyDescent="0.3">
      <c r="A4" s="4">
        <v>2</v>
      </c>
      <c r="B4" s="1">
        <f t="shared" ref="B4:K22" si="1">_xlfn.F.INV.RT($B$1,B$2,$A4)</f>
        <v>18.512820512820511</v>
      </c>
      <c r="C4" s="1">
        <f t="shared" si="0"/>
        <v>18.999999999999996</v>
      </c>
      <c r="D4" s="1">
        <f t="shared" si="0"/>
        <v>19.164292127511288</v>
      </c>
      <c r="E4" s="1">
        <f t="shared" si="0"/>
        <v>19.246794344808965</v>
      </c>
      <c r="F4" s="1">
        <f t="shared" si="0"/>
        <v>19.296409652017257</v>
      </c>
      <c r="G4" s="1">
        <f t="shared" si="0"/>
        <v>19.329534015154028</v>
      </c>
      <c r="H4" s="1">
        <f t="shared" si="0"/>
        <v>19.353217536092941</v>
      </c>
      <c r="I4" s="1">
        <f t="shared" si="0"/>
        <v>19.370992898066469</v>
      </c>
      <c r="J4" s="1">
        <f t="shared" si="0"/>
        <v>19.384825718171481</v>
      </c>
      <c r="K4" s="1">
        <f t="shared" si="0"/>
        <v>19.395896723571752</v>
      </c>
    </row>
    <row r="5" spans="1:11" x14ac:dyDescent="0.3">
      <c r="A5" s="4">
        <v>3</v>
      </c>
      <c r="B5" s="1">
        <f t="shared" si="1"/>
        <v>10.127964486013932</v>
      </c>
      <c r="C5" s="1">
        <f t="shared" si="0"/>
        <v>9.5520944959211587</v>
      </c>
      <c r="D5" s="1">
        <f t="shared" si="0"/>
        <v>9.2766281531448112</v>
      </c>
      <c r="E5" s="1">
        <f t="shared" si="0"/>
        <v>9.1171822532464244</v>
      </c>
      <c r="F5" s="1">
        <f t="shared" si="0"/>
        <v>9.0134551675225882</v>
      </c>
      <c r="G5" s="1">
        <f t="shared" si="0"/>
        <v>8.9406451207703839</v>
      </c>
      <c r="H5" s="1">
        <f t="shared" si="0"/>
        <v>8.886742955634281</v>
      </c>
      <c r="I5" s="1">
        <f t="shared" si="0"/>
        <v>8.8452384599594023</v>
      </c>
      <c r="J5" s="1">
        <f t="shared" si="0"/>
        <v>8.8122995552064509</v>
      </c>
      <c r="K5" s="1">
        <f t="shared" si="0"/>
        <v>8.7855247105240064</v>
      </c>
    </row>
    <row r="6" spans="1:11" x14ac:dyDescent="0.3">
      <c r="A6" s="4">
        <v>4</v>
      </c>
      <c r="B6" s="1">
        <f t="shared" si="1"/>
        <v>7.708647422176786</v>
      </c>
      <c r="C6" s="1">
        <f t="shared" si="0"/>
        <v>6.9442719099991574</v>
      </c>
      <c r="D6" s="1">
        <f t="shared" si="0"/>
        <v>6.5913821164255788</v>
      </c>
      <c r="E6" s="1">
        <f t="shared" si="0"/>
        <v>6.38823290869587</v>
      </c>
      <c r="F6" s="1">
        <f t="shared" si="0"/>
        <v>6.2560565021608845</v>
      </c>
      <c r="G6" s="1">
        <f t="shared" si="0"/>
        <v>6.1631322826886326</v>
      </c>
      <c r="H6" s="1">
        <f t="shared" si="0"/>
        <v>6.0942109256988832</v>
      </c>
      <c r="I6" s="1">
        <f t="shared" si="0"/>
        <v>6.041044476119156</v>
      </c>
      <c r="J6" s="1">
        <f t="shared" si="0"/>
        <v>5.9987790312102476</v>
      </c>
      <c r="K6" s="1">
        <f t="shared" si="0"/>
        <v>5.9643705522380337</v>
      </c>
    </row>
    <row r="7" spans="1:11" x14ac:dyDescent="0.3">
      <c r="A7" s="4">
        <v>5</v>
      </c>
      <c r="B7" s="1">
        <f t="shared" si="1"/>
        <v>6.607890973703368</v>
      </c>
      <c r="C7" s="1">
        <f t="shared" si="0"/>
        <v>5.786135043349967</v>
      </c>
      <c r="D7" s="1">
        <f t="shared" si="0"/>
        <v>5.4094513180564894</v>
      </c>
      <c r="E7" s="1">
        <f t="shared" si="0"/>
        <v>5.1921677728039226</v>
      </c>
      <c r="F7" s="1">
        <f t="shared" si="0"/>
        <v>5.0503290576326485</v>
      </c>
      <c r="G7" s="1">
        <f t="shared" si="0"/>
        <v>4.9502880686943191</v>
      </c>
      <c r="H7" s="1">
        <f t="shared" si="0"/>
        <v>4.8758716958339994</v>
      </c>
      <c r="I7" s="1">
        <f t="shared" si="0"/>
        <v>4.8183195356568689</v>
      </c>
      <c r="J7" s="1">
        <f t="shared" si="0"/>
        <v>4.7724656131008532</v>
      </c>
      <c r="K7" s="1">
        <f t="shared" si="0"/>
        <v>4.7350630696934211</v>
      </c>
    </row>
    <row r="8" spans="1:11" x14ac:dyDescent="0.3">
      <c r="A8" s="4">
        <v>6</v>
      </c>
      <c r="B8" s="1">
        <f t="shared" si="1"/>
        <v>5.9873776072737011</v>
      </c>
      <c r="C8" s="1">
        <f t="shared" si="0"/>
        <v>5.1432528497847176</v>
      </c>
      <c r="D8" s="1">
        <f t="shared" si="0"/>
        <v>4.7570626630894131</v>
      </c>
      <c r="E8" s="1">
        <f t="shared" si="0"/>
        <v>4.5336769502752441</v>
      </c>
      <c r="F8" s="1">
        <f t="shared" si="0"/>
        <v>4.3873741874061292</v>
      </c>
      <c r="G8" s="1">
        <f t="shared" si="0"/>
        <v>4.2838657138226397</v>
      </c>
      <c r="H8" s="1">
        <f t="shared" si="0"/>
        <v>4.2066584878692064</v>
      </c>
      <c r="I8" s="1">
        <f t="shared" si="0"/>
        <v>4.1468041622765357</v>
      </c>
      <c r="J8" s="1">
        <f t="shared" si="0"/>
        <v>4.099015541716521</v>
      </c>
      <c r="K8" s="1">
        <f t="shared" si="0"/>
        <v>4.059962794330696</v>
      </c>
    </row>
    <row r="9" spans="1:11" x14ac:dyDescent="0.3">
      <c r="A9" s="4">
        <v>7</v>
      </c>
      <c r="B9" s="1">
        <f t="shared" si="1"/>
        <v>5.591447851220738</v>
      </c>
      <c r="C9" s="1">
        <f t="shared" si="0"/>
        <v>4.7374141277758826</v>
      </c>
      <c r="D9" s="1">
        <f t="shared" si="0"/>
        <v>4.3468313999078179</v>
      </c>
      <c r="E9" s="1">
        <f t="shared" si="0"/>
        <v>4.1203117268976337</v>
      </c>
      <c r="F9" s="1">
        <f t="shared" si="0"/>
        <v>3.971523150611342</v>
      </c>
      <c r="G9" s="1">
        <f t="shared" si="0"/>
        <v>3.8659688531238445</v>
      </c>
      <c r="H9" s="1">
        <f t="shared" si="0"/>
        <v>3.7870435399280704</v>
      </c>
      <c r="I9" s="1">
        <f t="shared" si="0"/>
        <v>3.7257253171227038</v>
      </c>
      <c r="J9" s="1">
        <f t="shared" si="0"/>
        <v>3.67667469893951</v>
      </c>
      <c r="K9" s="1">
        <f t="shared" si="0"/>
        <v>3.6365231206283464</v>
      </c>
    </row>
    <row r="10" spans="1:11" x14ac:dyDescent="0.3">
      <c r="A10" s="4">
        <v>8</v>
      </c>
      <c r="B10" s="1">
        <f t="shared" si="1"/>
        <v>5.3176550715787174</v>
      </c>
      <c r="C10" s="1">
        <f t="shared" si="0"/>
        <v>4.4589701075245118</v>
      </c>
      <c r="D10" s="1">
        <f t="shared" si="0"/>
        <v>4.0661805513511613</v>
      </c>
      <c r="E10" s="1">
        <f t="shared" si="0"/>
        <v>3.8378533545558975</v>
      </c>
      <c r="F10" s="1">
        <f t="shared" si="0"/>
        <v>3.6874986663400291</v>
      </c>
      <c r="G10" s="1">
        <f t="shared" si="0"/>
        <v>3.5805803197614603</v>
      </c>
      <c r="H10" s="1">
        <f t="shared" si="0"/>
        <v>3.500463855044941</v>
      </c>
      <c r="I10" s="1">
        <f t="shared" si="0"/>
        <v>3.4381012333731586</v>
      </c>
      <c r="J10" s="1">
        <f t="shared" si="0"/>
        <v>3.3881302347397284</v>
      </c>
      <c r="K10" s="1">
        <f t="shared" si="0"/>
        <v>3.3471631202339767</v>
      </c>
    </row>
    <row r="11" spans="1:11" x14ac:dyDescent="0.3">
      <c r="A11" s="4">
        <v>9</v>
      </c>
      <c r="B11" s="1">
        <f t="shared" si="1"/>
        <v>5.1173550291992269</v>
      </c>
      <c r="C11" s="1">
        <f t="shared" si="0"/>
        <v>4.2564947290937507</v>
      </c>
      <c r="D11" s="1">
        <f t="shared" si="0"/>
        <v>3.8625483576247648</v>
      </c>
      <c r="E11" s="1">
        <f t="shared" si="0"/>
        <v>3.6330885114190816</v>
      </c>
      <c r="F11" s="1">
        <f t="shared" si="0"/>
        <v>3.4816586539015244</v>
      </c>
      <c r="G11" s="1">
        <f t="shared" si="0"/>
        <v>3.373753647039214</v>
      </c>
      <c r="H11" s="1">
        <f t="shared" si="0"/>
        <v>3.2927458389171207</v>
      </c>
      <c r="I11" s="1">
        <f t="shared" si="0"/>
        <v>3.229582612686777</v>
      </c>
      <c r="J11" s="1">
        <f t="shared" si="0"/>
        <v>3.17889310445827</v>
      </c>
      <c r="K11" s="1">
        <f t="shared" si="0"/>
        <v>3.1372801078886967</v>
      </c>
    </row>
    <row r="12" spans="1:11" x14ac:dyDescent="0.3">
      <c r="A12" s="4">
        <v>10</v>
      </c>
      <c r="B12" s="1">
        <f t="shared" si="1"/>
        <v>4.9646027437307128</v>
      </c>
      <c r="C12" s="1">
        <f t="shared" si="0"/>
        <v>4.1028210151304032</v>
      </c>
      <c r="D12" s="1">
        <f t="shared" si="0"/>
        <v>3.7082648190468448</v>
      </c>
      <c r="E12" s="1">
        <f t="shared" si="0"/>
        <v>3.4780496907652281</v>
      </c>
      <c r="F12" s="1">
        <f t="shared" si="0"/>
        <v>3.325834530413013</v>
      </c>
      <c r="G12" s="1">
        <f t="shared" si="0"/>
        <v>3.217174547398995</v>
      </c>
      <c r="H12" s="1">
        <f t="shared" si="0"/>
        <v>3.1354648046263263</v>
      </c>
      <c r="I12" s="1">
        <f t="shared" si="0"/>
        <v>3.0716583852790391</v>
      </c>
      <c r="J12" s="1">
        <f t="shared" si="0"/>
        <v>3.0203829470213761</v>
      </c>
      <c r="K12" s="1">
        <f t="shared" si="0"/>
        <v>2.9782370160823217</v>
      </c>
    </row>
    <row r="13" spans="1:11" x14ac:dyDescent="0.3">
      <c r="A13" s="4">
        <v>11</v>
      </c>
      <c r="B13" s="1">
        <f t="shared" si="1"/>
        <v>4.8443356749436166</v>
      </c>
      <c r="C13" s="1">
        <f t="shared" si="0"/>
        <v>3.9822979570944854</v>
      </c>
      <c r="D13" s="1">
        <f t="shared" si="0"/>
        <v>3.5874337024204954</v>
      </c>
      <c r="E13" s="1">
        <f t="shared" si="0"/>
        <v>3.3566900211325938</v>
      </c>
      <c r="F13" s="1">
        <f t="shared" si="0"/>
        <v>3.2038742627296211</v>
      </c>
      <c r="G13" s="1">
        <f t="shared" si="0"/>
        <v>3.0946128879091401</v>
      </c>
      <c r="H13" s="1">
        <f t="shared" si="0"/>
        <v>3.012330343043101</v>
      </c>
      <c r="I13" s="1">
        <f t="shared" si="0"/>
        <v>2.947990318638638</v>
      </c>
      <c r="J13" s="1">
        <f t="shared" si="0"/>
        <v>2.8962227612877038</v>
      </c>
      <c r="K13" s="1">
        <f t="shared" si="0"/>
        <v>2.8536248582732573</v>
      </c>
    </row>
    <row r="14" spans="1:11" x14ac:dyDescent="0.3">
      <c r="A14" s="4">
        <v>12</v>
      </c>
      <c r="B14" s="1">
        <f t="shared" si="1"/>
        <v>4.7472253467225149</v>
      </c>
      <c r="C14" s="1">
        <f t="shared" si="0"/>
        <v>3.8852938346523942</v>
      </c>
      <c r="D14" s="1">
        <f t="shared" si="0"/>
        <v>3.4902948194976045</v>
      </c>
      <c r="E14" s="1">
        <f t="shared" si="0"/>
        <v>3.2591667269012499</v>
      </c>
      <c r="F14" s="1">
        <f t="shared" si="0"/>
        <v>3.1058752390841229</v>
      </c>
      <c r="G14" s="1">
        <f t="shared" si="0"/>
        <v>2.996120377517109</v>
      </c>
      <c r="H14" s="1">
        <f t="shared" si="0"/>
        <v>2.9133581790111962</v>
      </c>
      <c r="I14" s="1">
        <f t="shared" si="0"/>
        <v>2.8485651420676827</v>
      </c>
      <c r="J14" s="1">
        <f t="shared" si="0"/>
        <v>2.7963754894992481</v>
      </c>
      <c r="K14" s="1">
        <f t="shared" si="0"/>
        <v>2.7533867688358531</v>
      </c>
    </row>
    <row r="15" spans="1:11" x14ac:dyDescent="0.3">
      <c r="A15" s="4">
        <v>13</v>
      </c>
      <c r="B15" s="1">
        <f t="shared" si="1"/>
        <v>4.6671927318268525</v>
      </c>
      <c r="C15" s="1">
        <f t="shared" si="0"/>
        <v>3.8055652529780568</v>
      </c>
      <c r="D15" s="1">
        <f t="shared" si="0"/>
        <v>3.4105336446278485</v>
      </c>
      <c r="E15" s="1">
        <f t="shared" si="0"/>
        <v>3.1791170525401871</v>
      </c>
      <c r="F15" s="1">
        <f t="shared" si="0"/>
        <v>3.0254383000982594</v>
      </c>
      <c r="G15" s="1">
        <f t="shared" si="0"/>
        <v>2.9152692387027517</v>
      </c>
      <c r="H15" s="1">
        <f t="shared" si="0"/>
        <v>2.8320975016349399</v>
      </c>
      <c r="I15" s="1">
        <f t="shared" si="0"/>
        <v>2.766913181917749</v>
      </c>
      <c r="J15" s="1">
        <f t="shared" si="0"/>
        <v>2.7143557890598928</v>
      </c>
      <c r="K15" s="1">
        <f t="shared" si="0"/>
        <v>2.671024228555126</v>
      </c>
    </row>
    <row r="16" spans="1:11" x14ac:dyDescent="0.3">
      <c r="A16" s="4">
        <v>14</v>
      </c>
      <c r="B16" s="1">
        <f t="shared" si="1"/>
        <v>4.6001099366694227</v>
      </c>
      <c r="C16" s="1">
        <f t="shared" si="0"/>
        <v>3.7388918324407361</v>
      </c>
      <c r="D16" s="1">
        <f t="shared" si="0"/>
        <v>3.3438886781189128</v>
      </c>
      <c r="E16" s="1">
        <f t="shared" si="0"/>
        <v>3.1122498479613889</v>
      </c>
      <c r="F16" s="1">
        <f t="shared" si="0"/>
        <v>2.9582489131221967</v>
      </c>
      <c r="G16" s="1">
        <f t="shared" si="0"/>
        <v>2.8477259959253578</v>
      </c>
      <c r="H16" s="1">
        <f t="shared" si="0"/>
        <v>2.7641992567781792</v>
      </c>
      <c r="I16" s="1">
        <f t="shared" si="0"/>
        <v>2.6986724187093056</v>
      </c>
      <c r="J16" s="1">
        <f t="shared" si="0"/>
        <v>2.645790735233819</v>
      </c>
      <c r="K16" s="1">
        <f t="shared" si="0"/>
        <v>2.6021550510427085</v>
      </c>
    </row>
    <row r="17" spans="1:11" x14ac:dyDescent="0.3">
      <c r="A17" s="4">
        <v>15</v>
      </c>
      <c r="B17" s="1">
        <f t="shared" si="1"/>
        <v>4.5430771652669701</v>
      </c>
      <c r="C17" s="1">
        <f t="shared" si="0"/>
        <v>3.6823203436732408</v>
      </c>
      <c r="D17" s="1">
        <f t="shared" si="0"/>
        <v>3.2873821046365093</v>
      </c>
      <c r="E17" s="1">
        <f t="shared" si="0"/>
        <v>3.055568275906595</v>
      </c>
      <c r="F17" s="1">
        <f t="shared" si="0"/>
        <v>2.9012945362361564</v>
      </c>
      <c r="G17" s="1">
        <f t="shared" si="0"/>
        <v>2.7904649973675064</v>
      </c>
      <c r="H17" s="1">
        <f t="shared" si="0"/>
        <v>2.7066267822256944</v>
      </c>
      <c r="I17" s="1">
        <f t="shared" si="0"/>
        <v>2.6407968829069026</v>
      </c>
      <c r="J17" s="1">
        <f t="shared" si="0"/>
        <v>2.5876264352275817</v>
      </c>
      <c r="K17" s="1">
        <f t="shared" si="0"/>
        <v>2.5437185496928079</v>
      </c>
    </row>
    <row r="18" spans="1:11" x14ac:dyDescent="0.3">
      <c r="A18" s="4">
        <v>16</v>
      </c>
      <c r="B18" s="1">
        <f t="shared" si="1"/>
        <v>4.4939984776663584</v>
      </c>
      <c r="C18" s="1">
        <f t="shared" si="0"/>
        <v>3.6337234675916301</v>
      </c>
      <c r="D18" s="1">
        <f t="shared" si="0"/>
        <v>3.2388715174535854</v>
      </c>
      <c r="E18" s="1">
        <f t="shared" si="0"/>
        <v>3.0069172799243447</v>
      </c>
      <c r="F18" s="1">
        <f t="shared" si="0"/>
        <v>2.8524091650819878</v>
      </c>
      <c r="G18" s="1">
        <f t="shared" si="0"/>
        <v>2.7413108283387784</v>
      </c>
      <c r="H18" s="1">
        <f t="shared" si="0"/>
        <v>2.6571966002210874</v>
      </c>
      <c r="I18" s="1">
        <f t="shared" si="0"/>
        <v>2.5910961798744014</v>
      </c>
      <c r="J18" s="1">
        <f t="shared" si="0"/>
        <v>2.5376665388806519</v>
      </c>
      <c r="K18" s="1">
        <f t="shared" si="0"/>
        <v>2.4935132212816078</v>
      </c>
    </row>
    <row r="19" spans="1:11" x14ac:dyDescent="0.3">
      <c r="A19" s="4">
        <v>17</v>
      </c>
      <c r="B19" s="1">
        <f t="shared" si="1"/>
        <v>4.4513217724681331</v>
      </c>
      <c r="C19" s="1">
        <f t="shared" si="1"/>
        <v>3.5915305684750827</v>
      </c>
      <c r="D19" s="1">
        <f t="shared" si="1"/>
        <v>3.1967768409433446</v>
      </c>
      <c r="E19" s="1">
        <f t="shared" si="1"/>
        <v>2.9647081100410797</v>
      </c>
      <c r="F19" s="1">
        <f t="shared" si="1"/>
        <v>2.8099961745295974</v>
      </c>
      <c r="G19" s="1">
        <f t="shared" si="1"/>
        <v>2.6986599016298731</v>
      </c>
      <c r="H19" s="1">
        <f t="shared" si="1"/>
        <v>2.6142990451333183</v>
      </c>
      <c r="I19" s="1">
        <f t="shared" si="1"/>
        <v>2.5479553577698537</v>
      </c>
      <c r="J19" s="1">
        <f t="shared" si="1"/>
        <v>2.4942914945641954</v>
      </c>
      <c r="K19" s="1">
        <f t="shared" si="1"/>
        <v>2.4499155003942468</v>
      </c>
    </row>
    <row r="20" spans="1:11" x14ac:dyDescent="0.3">
      <c r="A20" s="4">
        <v>18</v>
      </c>
      <c r="B20" s="1">
        <f t="shared" si="1"/>
        <v>4.4138734191705664</v>
      </c>
      <c r="C20" s="1">
        <f t="shared" si="1"/>
        <v>3.5545571456617879</v>
      </c>
      <c r="D20" s="1">
        <f t="shared" si="1"/>
        <v>3.1599075898007243</v>
      </c>
      <c r="E20" s="1">
        <f t="shared" si="1"/>
        <v>2.9277441728071834</v>
      </c>
      <c r="F20" s="1">
        <f t="shared" si="1"/>
        <v>2.77285315299783</v>
      </c>
      <c r="G20" s="1">
        <f t="shared" si="1"/>
        <v>2.6613045229279009</v>
      </c>
      <c r="H20" s="1">
        <f t="shared" si="1"/>
        <v>2.5767217292599147</v>
      </c>
      <c r="I20" s="1">
        <f t="shared" si="1"/>
        <v>2.5101578953835757</v>
      </c>
      <c r="J20" s="1">
        <f t="shared" si="1"/>
        <v>2.4562811491592669</v>
      </c>
      <c r="K20" s="1">
        <f t="shared" si="1"/>
        <v>2.4117020398339202</v>
      </c>
    </row>
    <row r="21" spans="1:11" x14ac:dyDescent="0.3">
      <c r="A21" s="4">
        <v>19</v>
      </c>
      <c r="B21" s="1">
        <f t="shared" si="1"/>
        <v>4.3807496923317979</v>
      </c>
      <c r="C21" s="1">
        <f t="shared" si="1"/>
        <v>3.521893260578826</v>
      </c>
      <c r="D21" s="1">
        <f t="shared" si="1"/>
        <v>3.1273500051133998</v>
      </c>
      <c r="E21" s="1">
        <f t="shared" si="1"/>
        <v>2.8951073075078422</v>
      </c>
      <c r="F21" s="1">
        <f t="shared" si="1"/>
        <v>2.7400575416853457</v>
      </c>
      <c r="G21" s="1">
        <f t="shared" si="1"/>
        <v>2.628318038338513</v>
      </c>
      <c r="H21" s="1">
        <f t="shared" si="1"/>
        <v>2.5435343014297049</v>
      </c>
      <c r="I21" s="1">
        <f t="shared" si="1"/>
        <v>2.4767701474512962</v>
      </c>
      <c r="J21" s="1">
        <f t="shared" si="1"/>
        <v>2.4226989371239691</v>
      </c>
      <c r="K21" s="1">
        <f t="shared" si="1"/>
        <v>2.3779336872898322</v>
      </c>
    </row>
    <row r="22" spans="1:11" x14ac:dyDescent="0.3">
      <c r="A22" s="4">
        <v>20</v>
      </c>
      <c r="B22" s="1">
        <f t="shared" si="1"/>
        <v>4.3512435033292896</v>
      </c>
      <c r="C22" s="1">
        <f t="shared" si="1"/>
        <v>3.492828476735633</v>
      </c>
      <c r="D22" s="1">
        <f t="shared" si="1"/>
        <v>3.0983912121407795</v>
      </c>
      <c r="E22" s="1">
        <f t="shared" si="1"/>
        <v>2.8660814020156589</v>
      </c>
      <c r="F22" s="1">
        <f t="shared" si="1"/>
        <v>2.7108898372096917</v>
      </c>
      <c r="G22" s="1">
        <f t="shared" si="1"/>
        <v>2.5989777115642028</v>
      </c>
      <c r="H22" s="1">
        <f t="shared" si="1"/>
        <v>2.5140110629988341</v>
      </c>
      <c r="I22" s="1">
        <f t="shared" si="1"/>
        <v>2.4470637479798238</v>
      </c>
      <c r="J22" s="1">
        <f t="shared" si="1"/>
        <v>2.39281410844228</v>
      </c>
      <c r="K22" s="1">
        <f t="shared" si="1"/>
        <v>2.3478775669983114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标准正态分布表</vt:lpstr>
      <vt:lpstr>t分布临界值表</vt:lpstr>
      <vt:lpstr>卡方分布临界值表</vt:lpstr>
      <vt:lpstr>F分布临界值表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Zhiliang Lin</dc:creator>
  <cp:lastModifiedBy>Zhiliang Lin</cp:lastModifiedBy>
  <cp:lastPrinted>2021-11-03T20:58:20Z</cp:lastPrinted>
  <dcterms:created xsi:type="dcterms:W3CDTF">2015-06-05T18:19:34Z</dcterms:created>
  <dcterms:modified xsi:type="dcterms:W3CDTF">2025-03-27T11:37:53Z</dcterms:modified>
</cp:coreProperties>
</file>